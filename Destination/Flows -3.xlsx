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IT" sheetId="1" r:id="rId4"/>
    <sheet state="visible" name="ETHA" sheetId="2" r:id="rId5"/>
    <sheet state="visible" name="SOL" sheetId="3" r:id="rId6"/>
    <sheet state="visible" name="S&amp;P 500 ETF" sheetId="4" r:id="rId7"/>
    <sheet state="visible" name="Nasdaq 100 ETF" sheetId="5" r:id="rId8"/>
    <sheet state="visible" name="Russel 2000 ETF" sheetId="6" r:id="rId9"/>
    <sheet state="visible" name="Bonds" sheetId="7" r:id="rId10"/>
    <sheet state="visible" name="NVDA" sheetId="8" r:id="rId11"/>
    <sheet state="visible" name="AVGO" sheetId="9" r:id="rId12"/>
    <sheet state="visible" name="TSLA" sheetId="10" r:id="rId13"/>
    <sheet state="visible" name="META" sheetId="11" r:id="rId14"/>
    <sheet state="visible" name="AAPL" sheetId="12" r:id="rId15"/>
    <sheet state="visible" name="MSFT" sheetId="13" r:id="rId16"/>
    <sheet state="visible" name="GOOG" sheetId="14" r:id="rId17"/>
    <sheet state="visible" name="PANW" sheetId="15" r:id="rId18"/>
    <sheet state="visible" name="SEMIC" sheetId="16" r:id="rId19"/>
    <sheet state="visible" name="Gold ETF" sheetId="17" r:id="rId20"/>
    <sheet state="visible" name="Silver ETF" sheetId="18" r:id="rId21"/>
    <sheet state="visible" name="Brent ETF" sheetId="19" r:id="rId22"/>
    <sheet state="visible" name="Natural Gas" sheetId="20" r:id="rId23"/>
    <sheet state="visible" name="Palladium ETF" sheetId="21" r:id="rId24"/>
    <sheet state="visible" name="Platinum ETF" sheetId="22" r:id="rId25"/>
    <sheet state="visible" name="Copper ETF" sheetId="23" r:id="rId26"/>
    <sheet state="visible" name="ALL" sheetId="24" r:id="rId27"/>
    <sheet state="visible" name="DIN" sheetId="25" r:id="rId28"/>
    <sheet state="visible" name="TR" sheetId="26" r:id="rId29"/>
    <sheet state="visible" name="BOFA" sheetId="27" r:id="rId30"/>
  </sheets>
  <definedNames/>
  <calcPr/>
</workbook>
</file>

<file path=xl/sharedStrings.xml><?xml version="1.0" encoding="utf-8"?>
<sst xmlns="http://schemas.openxmlformats.org/spreadsheetml/2006/main" count="721" uniqueCount="274">
  <si>
    <t>Date</t>
  </si>
  <si>
    <t>Flow</t>
  </si>
  <si>
    <t>VWAP</t>
  </si>
  <si>
    <t>Product</t>
  </si>
  <si>
    <t>351,4</t>
  </si>
  <si>
    <t>674,9</t>
  </si>
  <si>
    <t>531,2</t>
  </si>
  <si>
    <t>36,7</t>
  </si>
  <si>
    <t>37,2</t>
  </si>
  <si>
    <t>356,2</t>
  </si>
  <si>
    <t>69,4</t>
  </si>
  <si>
    <t>232,9</t>
  </si>
  <si>
    <t>409,7</t>
  </si>
  <si>
    <t>129,7</t>
  </si>
  <si>
    <t>305,9</t>
  </si>
  <si>
    <t>287,5</t>
  </si>
  <si>
    <t>530,6</t>
  </si>
  <si>
    <t>877,2</t>
  </si>
  <si>
    <t>430,8</t>
  </si>
  <si>
    <t>409,3</t>
  </si>
  <si>
    <t>125,1</t>
  </si>
  <si>
    <t>-430,8</t>
  </si>
  <si>
    <t>-130,4</t>
  </si>
  <si>
    <t>-130,5</t>
  </si>
  <si>
    <t>120,9</t>
  </si>
  <si>
    <t>336,7</t>
  </si>
  <si>
    <t>288,3</t>
  </si>
  <si>
    <t>266,6</t>
  </si>
  <si>
    <t>639,2</t>
  </si>
  <si>
    <t>278,9</t>
  </si>
  <si>
    <t>46,9</t>
  </si>
  <si>
    <t>217,6</t>
  </si>
  <si>
    <t>436,3</t>
  </si>
  <si>
    <t>340,3</t>
  </si>
  <si>
    <t>163,7</t>
  </si>
  <si>
    <t>112,3</t>
  </si>
  <si>
    <t>224,5</t>
  </si>
  <si>
    <t>164,6</t>
  </si>
  <si>
    <t>66,8</t>
  </si>
  <si>
    <t>125,6</t>
  </si>
  <si>
    <t>448,5</t>
  </si>
  <si>
    <t>953,5</t>
  </si>
  <si>
    <t>394,7</t>
  </si>
  <si>
    <t>416,3</t>
  </si>
  <si>
    <t>763,9</t>
  </si>
  <si>
    <t>497,3</t>
  </si>
  <si>
    <t>496,8</t>
  </si>
  <si>
    <t>142,6</t>
  </si>
  <si>
    <t>32,5</t>
  </si>
  <si>
    <t>92,8</t>
  </si>
  <si>
    <t>147,4</t>
  </si>
  <si>
    <t>157,6</t>
  </si>
  <si>
    <t>34,4</t>
  </si>
  <si>
    <t>18,6</t>
  </si>
  <si>
    <t>-2,6</t>
  </si>
  <si>
    <t>-292,2</t>
  </si>
  <si>
    <t>-77,4</t>
  </si>
  <si>
    <t>41,9</t>
  </si>
  <si>
    <t>156,6</t>
  </si>
  <si>
    <t>138,2</t>
  </si>
  <si>
    <t>111,4</t>
  </si>
  <si>
    <t>523,7</t>
  </si>
  <si>
    <t>114,4</t>
  </si>
  <si>
    <t>-68,7</t>
  </si>
  <si>
    <t>IBIT</t>
  </si>
  <si>
    <t>FLOW</t>
  </si>
  <si>
    <t>AVERAGE</t>
  </si>
  <si>
    <t>AS OF MAY 1</t>
  </si>
  <si>
    <t>LAST 5 DAYS</t>
  </si>
  <si>
    <t>LAST 20 DAYS</t>
  </si>
  <si>
    <t>20,1</t>
  </si>
  <si>
    <t>-21,8</t>
  </si>
  <si>
    <t>17,6</t>
  </si>
  <si>
    <t>57,6</t>
  </si>
  <si>
    <t>8,4</t>
  </si>
  <si>
    <t>13,7</t>
  </si>
  <si>
    <t>24,9</t>
  </si>
  <si>
    <t>52,8</t>
  </si>
  <si>
    <t>52,7</t>
  </si>
  <si>
    <t>50,4</t>
  </si>
  <si>
    <t>70,2</t>
  </si>
  <si>
    <t>48,4</t>
  </si>
  <si>
    <t>77,1</t>
  </si>
  <si>
    <t>73,2</t>
  </si>
  <si>
    <t>34,7</t>
  </si>
  <si>
    <t>15,9</t>
  </si>
  <si>
    <t>35,2</t>
  </si>
  <si>
    <t>80,6</t>
  </si>
  <si>
    <t>163,6</t>
  </si>
  <si>
    <t>101,5</t>
  </si>
  <si>
    <t>16,1</t>
  </si>
  <si>
    <t>15,1</t>
  </si>
  <si>
    <t>-19,7</t>
  </si>
  <si>
    <t>25,8</t>
  </si>
  <si>
    <t>55,2</t>
  </si>
  <si>
    <t>5,9</t>
  </si>
  <si>
    <t>48,1</t>
  </si>
  <si>
    <t>6,1</t>
  </si>
  <si>
    <t>54,8</t>
  </si>
  <si>
    <t>-46,9</t>
  </si>
  <si>
    <t>85,4</t>
  </si>
  <si>
    <t>53,2</t>
  </si>
  <si>
    <t>25,3</t>
  </si>
  <si>
    <t>158,6</t>
  </si>
  <si>
    <t>300,9</t>
  </si>
  <si>
    <t>137,1</t>
  </si>
  <si>
    <t>151,4</t>
  </si>
  <si>
    <t>171,5</t>
  </si>
  <si>
    <t>499,2</t>
  </si>
  <si>
    <t>546,7</t>
  </si>
  <si>
    <t>394,9</t>
  </si>
  <si>
    <t>426,2</t>
  </si>
  <si>
    <t>324,6</t>
  </si>
  <si>
    <t>440,1</t>
  </si>
  <si>
    <t>223,7</t>
  </si>
  <si>
    <t>20,3</t>
  </si>
  <si>
    <t>18,2</t>
  </si>
  <si>
    <t>88,8</t>
  </si>
  <si>
    <t>33,4</t>
  </si>
  <si>
    <t>103,5</t>
  </si>
  <si>
    <t>254,7</t>
  </si>
  <si>
    <t>639,8</t>
  </si>
  <si>
    <t>318,7</t>
  </si>
  <si>
    <t>500,9</t>
  </si>
  <si>
    <t>519,7</t>
  </si>
  <si>
    <t>338,1</t>
  </si>
  <si>
    <t>-87,2</t>
  </si>
  <si>
    <t>-6,3</t>
  </si>
  <si>
    <t>-257,8</t>
  </si>
  <si>
    <t>262,8</t>
  </si>
  <si>
    <t>ETHA</t>
  </si>
  <si>
    <t>212,30</t>
  </si>
  <si>
    <t>215,94</t>
  </si>
  <si>
    <t>SOL</t>
  </si>
  <si>
    <t>AS OF JUL 2</t>
  </si>
  <si>
    <t xml:space="preserve">IVV </t>
  </si>
  <si>
    <t xml:space="preserve">SPY </t>
  </si>
  <si>
    <t>UPRO (3x L)</t>
  </si>
  <si>
    <t>SPXL (3x L)</t>
  </si>
  <si>
    <t>SPXS (3x S)</t>
  </si>
  <si>
    <t>SPXU (3x S)</t>
  </si>
  <si>
    <t>SPx VWAP</t>
  </si>
  <si>
    <t xml:space="preserve">Adjusted Total Flow </t>
  </si>
  <si>
    <t>Product (AdjFlow×VWAP)</t>
  </si>
  <si>
    <t xml:space="preserve">S&amp;P 500 </t>
  </si>
  <si>
    <t>LAST DAY</t>
  </si>
  <si>
    <t>QQQ</t>
  </si>
  <si>
    <t>QQQM</t>
  </si>
  <si>
    <t>TQQQ (3x L)</t>
  </si>
  <si>
    <t>SQQQ (3x S)</t>
  </si>
  <si>
    <t>NDX VWAP</t>
  </si>
  <si>
    <t>Adjusted Total</t>
  </si>
  <si>
    <t>NASDAQ</t>
  </si>
  <si>
    <t xml:space="preserve">Nasdaq </t>
  </si>
  <si>
    <t>IWM</t>
  </si>
  <si>
    <t>VTWO</t>
  </si>
  <si>
    <t>TNA (3x L)</t>
  </si>
  <si>
    <t>RUT VWAP</t>
  </si>
  <si>
    <t xml:space="preserve">Russell 2000 </t>
  </si>
  <si>
    <t>TLT</t>
  </si>
  <si>
    <t>TMF (3x L)</t>
  </si>
  <si>
    <t>TLT VWAP</t>
  </si>
  <si>
    <t xml:space="preserve">BOND </t>
  </si>
  <si>
    <t>BOND</t>
  </si>
  <si>
    <t>NVDL (2x L)</t>
  </si>
  <si>
    <t>NVD (2x S)</t>
  </si>
  <si>
    <t>NVDX(2x L)</t>
  </si>
  <si>
    <t>NVDU(2x L)</t>
  </si>
  <si>
    <t>NVDA</t>
  </si>
  <si>
    <t xml:space="preserve">NVDA </t>
  </si>
  <si>
    <t>AVGG(2x L)</t>
  </si>
  <si>
    <t>AVGU(2x L)</t>
  </si>
  <si>
    <t>AVGX(2x L)</t>
  </si>
  <si>
    <t>AVL(2x L)</t>
  </si>
  <si>
    <t>AVS(1xS)</t>
  </si>
  <si>
    <t>AVGO VWAP</t>
  </si>
  <si>
    <t>Adjuested Total</t>
  </si>
  <si>
    <t xml:space="preserve">AVGO </t>
  </si>
  <si>
    <t>-</t>
  </si>
  <si>
    <t>TSLQ (2x S)</t>
  </si>
  <si>
    <t xml:space="preserve"> TSLT (2x L)</t>
  </si>
  <si>
    <t>TSLL (2x L)</t>
  </si>
  <si>
    <t>TSL(1.25x L)</t>
  </si>
  <si>
    <t>TSLR(2x L)</t>
  </si>
  <si>
    <t>TSDD(2x S)</t>
  </si>
  <si>
    <t>TSLA VWAP</t>
  </si>
  <si>
    <t xml:space="preserve">TSLA </t>
  </si>
  <si>
    <t>METU (2x L)</t>
  </si>
  <si>
    <t>METD (1x S)</t>
  </si>
  <si>
    <t>FBL (2x L)</t>
  </si>
  <si>
    <t>META VWAP</t>
  </si>
  <si>
    <t xml:space="preserve">META </t>
  </si>
  <si>
    <t>AAPU (2x L)</t>
  </si>
  <si>
    <t>AAPD (1x S)</t>
  </si>
  <si>
    <t xml:space="preserve">AAPB(2x L) </t>
  </si>
  <si>
    <t>AAPL</t>
  </si>
  <si>
    <t xml:space="preserve">AAPL </t>
  </si>
  <si>
    <t>MSFL (2x L)</t>
  </si>
  <si>
    <t>MSFU (2x L)</t>
  </si>
  <si>
    <t>MSFX (2x L)</t>
  </si>
  <si>
    <t>MSFT</t>
  </si>
  <si>
    <t xml:space="preserve">MSFT </t>
  </si>
  <si>
    <t>GGLL (2x L)</t>
  </si>
  <si>
    <t>GGLS (1x S)</t>
  </si>
  <si>
    <t>GOOG</t>
  </si>
  <si>
    <t xml:space="preserve">GOOG </t>
  </si>
  <si>
    <t>PALU (2x L)</t>
  </si>
  <si>
    <t>PANG (2X L)</t>
  </si>
  <si>
    <t>PANW</t>
  </si>
  <si>
    <t>SMH</t>
  </si>
  <si>
    <t>SOXX</t>
  </si>
  <si>
    <t>SOXS (3X S)</t>
  </si>
  <si>
    <t>SMH VWAP</t>
  </si>
  <si>
    <t>SMC</t>
  </si>
  <si>
    <t>GLD</t>
  </si>
  <si>
    <t>IAU</t>
  </si>
  <si>
    <t>GLDM</t>
  </si>
  <si>
    <t>XAU VWAP</t>
  </si>
  <si>
    <t xml:space="preserve">GOLD </t>
  </si>
  <si>
    <t xml:space="preserve">SLV </t>
  </si>
  <si>
    <t>SIVR</t>
  </si>
  <si>
    <t>AGQ(2x L)</t>
  </si>
  <si>
    <t>ZSL(2x S)</t>
  </si>
  <si>
    <t>XAG VWAP</t>
  </si>
  <si>
    <t xml:space="preserve"> </t>
  </si>
  <si>
    <t>SILVER</t>
  </si>
  <si>
    <t>BNO</t>
  </si>
  <si>
    <t>DBO</t>
  </si>
  <si>
    <t>USO</t>
  </si>
  <si>
    <t>UCO(2x L)</t>
  </si>
  <si>
    <t>SCO(2x S)</t>
  </si>
  <si>
    <t>Brent Oil VWAP</t>
  </si>
  <si>
    <t>BRENT</t>
  </si>
  <si>
    <t>BOIL</t>
  </si>
  <si>
    <t>FCG</t>
  </si>
  <si>
    <t>KOLD(2x S)</t>
  </si>
  <si>
    <t>UNG</t>
  </si>
  <si>
    <t>NGas VWAP</t>
  </si>
  <si>
    <t>Natural GAS</t>
  </si>
  <si>
    <t>PALL</t>
  </si>
  <si>
    <t>XPD VWAP</t>
  </si>
  <si>
    <t>PALLADIUM</t>
  </si>
  <si>
    <t xml:space="preserve">Palladium </t>
  </si>
  <si>
    <t>PPLT</t>
  </si>
  <si>
    <t>PLTM</t>
  </si>
  <si>
    <t>XPT VWAP</t>
  </si>
  <si>
    <t>PLATINUM</t>
  </si>
  <si>
    <t xml:space="preserve">Platinum </t>
  </si>
  <si>
    <t>CPER</t>
  </si>
  <si>
    <t>XCU VWAP</t>
  </si>
  <si>
    <t>COPPER</t>
  </si>
  <si>
    <t>DATE</t>
  </si>
  <si>
    <t>DJI</t>
  </si>
  <si>
    <t>ES</t>
  </si>
  <si>
    <t>NQ</t>
  </si>
  <si>
    <t>RTY</t>
  </si>
  <si>
    <t>SUM</t>
  </si>
  <si>
    <t>CHANGES</t>
  </si>
  <si>
    <t>LAST 10 DAYS</t>
  </si>
  <si>
    <t xml:space="preserve">VIOP </t>
  </si>
  <si>
    <t>SPOT</t>
  </si>
  <si>
    <t>TOTAL</t>
  </si>
  <si>
    <t>YKREDİ</t>
  </si>
  <si>
    <t>DENİZ</t>
  </si>
  <si>
    <t>GEDİK</t>
  </si>
  <si>
    <t>İŞ</t>
  </si>
  <si>
    <t>BOFA</t>
  </si>
  <si>
    <t>VAKIF</t>
  </si>
  <si>
    <t>VİOP (ARALIK)</t>
  </si>
  <si>
    <t>18/11/2025</t>
  </si>
  <si>
    <t>17/11/2025</t>
  </si>
  <si>
    <t>14/11/2025</t>
  </si>
  <si>
    <t>13/11/2025</t>
  </si>
  <si>
    <t>LAST 40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</si>
</sst>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 mmmm yyyy"/>
    <numFmt numFmtId="165" formatCode="d mmmm yyyy"/>
    <numFmt numFmtId="166" formatCode="dd mmm yyyy"/>
    <numFmt numFmtId="167" formatCode="d mmm yyyy"/>
    <numFmt numFmtId="168" formatCode="#,##0.0"/>
    <numFmt numFmtId="169" formatCode="0.000"/>
    <numFmt numFmtId="170" formatCode="mm/dd/yyyy"/>
  </numFmts>
  <fonts count="3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i/>
      <sz val="15.0"/>
      <color rgb="FFFF0000"/>
      <name val="Arial"/>
      <scheme val="minor"/>
    </font>
    <font>
      <i/>
      <sz val="15.0"/>
      <color rgb="FFFF0000"/>
      <name val="Arial"/>
    </font>
    <font>
      <b/>
      <i/>
      <color theme="1"/>
      <name val="Arial"/>
    </font>
    <font>
      <color theme="1"/>
      <name val="Arial"/>
    </font>
    <font>
      <b/>
      <i/>
      <color theme="1"/>
      <name val="Arial"/>
      <scheme val="minor"/>
    </font>
    <font>
      <color rgb="FFFF0000"/>
      <name val="Arial"/>
    </font>
    <font>
      <color rgb="FFFF0000"/>
      <name val="Arial"/>
      <scheme val="minor"/>
    </font>
    <font>
      <sz val="10.0"/>
      <color rgb="FF1F1F1F"/>
      <name val="&quot;Google Sans&quot;"/>
    </font>
    <font>
      <sz val="23.0"/>
      <color rgb="FF1F1F1F"/>
      <name val="&quot;Google Sans&quot;"/>
    </font>
    <font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1.0"/>
      <color theme="1"/>
      <name val="Arial"/>
    </font>
    <font>
      <b/>
      <color theme="1"/>
      <name val="Arial"/>
    </font>
    <font>
      <b/>
      <i/>
      <sz val="12.0"/>
      <color rgb="FFFF0000"/>
      <name val="Arial"/>
      <scheme val="minor"/>
    </font>
    <font>
      <b/>
      <i/>
      <sz val="12.0"/>
      <color rgb="FFFF0000"/>
      <name val="Arial"/>
    </font>
    <font>
      <b/>
      <i/>
      <sz val="11.0"/>
      <color theme="1"/>
      <name val="Arial"/>
      <scheme val="minor"/>
    </font>
    <font>
      <b/>
      <i/>
      <sz val="10.0"/>
      <color theme="1"/>
      <name val="Arial"/>
      <scheme val="minor"/>
    </font>
    <font>
      <b/>
      <sz val="11.0"/>
      <color rgb="FFFF0000"/>
      <name val="Arial"/>
      <scheme val="minor"/>
    </font>
    <font>
      <b/>
      <sz val="11.0"/>
      <color rgb="FFFF0000"/>
      <name val="Arial"/>
    </font>
    <font>
      <b/>
      <i/>
      <sz val="11.0"/>
      <color rgb="FFFF0000"/>
      <name val="Arial"/>
      <scheme val="minor"/>
    </font>
    <font>
      <b/>
      <i/>
      <sz val="11.0"/>
      <color rgb="FFFF0000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i/>
      <color rgb="FFFF0000"/>
      <name val="Arial"/>
      <scheme val="minor"/>
    </font>
    <font>
      <b/>
      <i/>
      <color rgb="FFFF0000"/>
      <name val="Arial"/>
    </font>
    <font>
      <b/>
      <i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0" fillId="0" fontId="2" numFmtId="167" xfId="0" applyAlignment="1" applyFont="1" applyNumberFormat="1">
      <alignment readingOrder="0" shrinkToFit="0" vertical="bottom" wrapText="0"/>
    </xf>
    <xf borderId="0" fillId="0" fontId="3" numFmtId="167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3" xfId="0" applyAlignment="1" applyFont="1" applyNumberFormat="1">
      <alignment horizontal="right" readingOrder="0"/>
    </xf>
    <xf borderId="0" fillId="0" fontId="3" numFmtId="168" xfId="0" applyAlignment="1" applyFont="1" applyNumberFormat="1">
      <alignment horizontal="right" readingOrder="0"/>
    </xf>
    <xf borderId="0" fillId="0" fontId="3" numFmtId="168" xfId="0" applyAlignment="1" applyFont="1" applyNumberFormat="1">
      <alignment readingOrder="0"/>
    </xf>
    <xf borderId="0" fillId="0" fontId="3" numFmtId="0" xfId="0" applyFont="1"/>
    <xf borderId="0" fillId="0" fontId="3" numFmtId="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6" numFmtId="168" xfId="0" applyAlignment="1" applyFont="1" applyNumberFormat="1">
      <alignment vertical="bottom"/>
    </xf>
    <xf borderId="0" fillId="0" fontId="6" numFmtId="3" xfId="0" applyAlignment="1" applyFont="1" applyNumberFormat="1">
      <alignment vertical="bottom"/>
    </xf>
    <xf borderId="0" fillId="0" fontId="9" numFmtId="0" xfId="0" applyAlignment="1" applyFont="1">
      <alignment horizontal="right" vertical="bottom"/>
    </xf>
    <xf borderId="0" fillId="0" fontId="9" numFmtId="3" xfId="0" applyAlignment="1" applyFont="1" applyNumberFormat="1">
      <alignment horizontal="right" vertical="bottom"/>
    </xf>
    <xf borderId="0" fillId="0" fontId="10" numFmtId="0" xfId="0" applyAlignment="1" applyFont="1">
      <alignment readingOrder="0"/>
    </xf>
    <xf borderId="0" fillId="0" fontId="10" numFmtId="3" xfId="0" applyAlignment="1" applyFont="1" applyNumberFormat="1">
      <alignment readingOrder="0"/>
    </xf>
    <xf borderId="0" fillId="0" fontId="7" numFmtId="0" xfId="0" applyAlignment="1" applyFont="1">
      <alignment readingOrder="0" vertical="bottom"/>
    </xf>
    <xf borderId="0" fillId="0" fontId="9" numFmtId="0" xfId="0" applyAlignment="1" applyFont="1">
      <alignment horizontal="right" readingOrder="0" vertical="bottom"/>
    </xf>
    <xf borderId="0" fillId="0" fontId="10" numFmtId="0" xfId="0" applyAlignment="1" applyFont="1">
      <alignment horizontal="right" readingOrder="0"/>
    </xf>
    <xf borderId="1" fillId="0" fontId="5" numFmtId="0" xfId="0" applyAlignment="1" applyBorder="1" applyFont="1">
      <alignment vertical="bottom"/>
    </xf>
    <xf borderId="1" fillId="0" fontId="6" numFmtId="168" xfId="0" applyAlignment="1" applyBorder="1" applyFont="1" applyNumberFormat="1">
      <alignment vertical="bottom"/>
    </xf>
    <xf borderId="1" fillId="0" fontId="6" numFmtId="3" xfId="0" applyAlignment="1" applyBorder="1" applyFont="1" applyNumberFormat="1">
      <alignment vertical="bottom"/>
    </xf>
    <xf borderId="1" fillId="0" fontId="6" numFmtId="0" xfId="0" applyAlignment="1" applyBorder="1" applyFont="1">
      <alignment vertical="bottom"/>
    </xf>
    <xf borderId="1" fillId="0" fontId="9" numFmtId="168" xfId="0" applyAlignment="1" applyBorder="1" applyFont="1" applyNumberFormat="1">
      <alignment horizontal="right" vertical="bottom"/>
    </xf>
    <xf borderId="1" fillId="0" fontId="9" numFmtId="3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vertical="bottom"/>
    </xf>
    <xf borderId="1" fillId="0" fontId="7" numFmtId="168" xfId="0" applyAlignment="1" applyBorder="1" applyFont="1" applyNumberFormat="1">
      <alignment vertical="bottom"/>
    </xf>
    <xf borderId="1" fillId="0" fontId="7" numFmtId="3" xfId="0" applyAlignment="1" applyBorder="1" applyFont="1" applyNumberFormat="1">
      <alignment vertical="bottom"/>
    </xf>
    <xf borderId="1" fillId="2" fontId="9" numFmtId="168" xfId="0" applyAlignment="1" applyBorder="1" applyFill="1" applyFont="1" applyNumberFormat="1">
      <alignment horizontal="right" vertical="bottom"/>
    </xf>
    <xf borderId="0" fillId="0" fontId="2" numFmtId="0" xfId="0" applyAlignment="1" applyFont="1">
      <alignment readingOrder="0" shrinkToFit="0" vertical="bottom" wrapText="0"/>
    </xf>
    <xf borderId="0" fillId="2" fontId="11" numFmtId="0" xfId="0" applyAlignment="1" applyFont="1">
      <alignment readingOrder="0" shrinkToFit="0" wrapText="0"/>
    </xf>
    <xf borderId="0" fillId="2" fontId="12" numFmtId="0" xfId="0" applyAlignment="1" applyFont="1">
      <alignment readingOrder="0" shrinkToFit="0" wrapText="0"/>
    </xf>
    <xf borderId="0" fillId="0" fontId="3" numFmtId="2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4" xfId="0" applyAlignment="1" applyFont="1" applyNumberFormat="1">
      <alignment vertical="bottom"/>
    </xf>
    <xf borderId="0" fillId="0" fontId="6" numFmtId="4" xfId="0" applyAlignment="1" applyFont="1" applyNumberFormat="1">
      <alignment vertical="bottom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9" numFmtId="4" xfId="0" applyAlignment="1" applyFont="1" applyNumberFormat="1">
      <alignment horizontal="right" vertical="bottom"/>
    </xf>
    <xf borderId="1" fillId="0" fontId="5" numFmtId="4" xfId="0" applyAlignment="1" applyBorder="1" applyFont="1" applyNumberFormat="1">
      <alignment vertical="bottom"/>
    </xf>
    <xf borderId="1" fillId="0" fontId="6" numFmtId="4" xfId="0" applyAlignment="1" applyBorder="1" applyFont="1" applyNumberFormat="1">
      <alignment vertical="bottom"/>
    </xf>
    <xf borderId="1" fillId="0" fontId="9" numFmtId="4" xfId="0" applyAlignment="1" applyBorder="1" applyFont="1" applyNumberFormat="1">
      <alignment horizontal="right" vertical="bottom"/>
    </xf>
    <xf borderId="1" fillId="0" fontId="7" numFmtId="2" xfId="0" applyAlignment="1" applyBorder="1" applyFont="1" applyNumberFormat="1">
      <alignment vertical="bottom"/>
    </xf>
    <xf borderId="1" fillId="0" fontId="7" numFmtId="4" xfId="0" applyAlignment="1" applyBorder="1" applyFont="1" applyNumberFormat="1">
      <alignment vertical="bottom"/>
    </xf>
    <xf borderId="1" fillId="0" fontId="9" numFmtId="2" xfId="0" applyAlignment="1" applyBorder="1" applyFont="1" applyNumberFormat="1">
      <alignment horizontal="right" vertical="bottom"/>
    </xf>
    <xf borderId="0" fillId="0" fontId="7" numFmtId="2" xfId="0" applyAlignment="1" applyFont="1" applyNumberFormat="1">
      <alignment vertical="bottom"/>
    </xf>
    <xf borderId="1" fillId="0" fontId="14" numFmtId="0" xfId="0" applyAlignment="1" applyBorder="1" applyFont="1">
      <alignment horizontal="center" vertical="top"/>
    </xf>
    <xf borderId="1" fillId="0" fontId="14" numFmtId="0" xfId="0" applyAlignment="1" applyBorder="1" applyFont="1">
      <alignment horizontal="center" readingOrder="0" vertical="top"/>
    </xf>
    <xf borderId="0" fillId="0" fontId="2" numFmtId="167" xfId="0" applyAlignment="1" applyFont="1" applyNumberForma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0" fillId="0" fontId="15" numFmtId="0" xfId="0" applyAlignment="1" applyFont="1">
      <alignment readingOrder="0"/>
    </xf>
    <xf borderId="0" fillId="0" fontId="2" numFmtId="166" xfId="0" applyAlignment="1" applyFont="1" applyNumberFormat="1">
      <alignment horizontal="left" readingOrder="0" vertical="bottom"/>
    </xf>
    <xf borderId="0" fillId="0" fontId="16" numFmtId="167" xfId="0" applyAlignment="1" applyFont="1" applyNumberFormat="1">
      <alignment horizontal="left" readingOrder="0"/>
    </xf>
    <xf borderId="0" fillId="0" fontId="16" numFmtId="0" xfId="0" applyAlignment="1" applyFont="1">
      <alignment readingOrder="0"/>
    </xf>
    <xf borderId="0" fillId="2" fontId="2" numFmtId="167" xfId="0" applyAlignment="1" applyFont="1" applyNumberFormat="1">
      <alignment horizontal="left" readingOrder="0" shrinkToFit="0" wrapText="1"/>
    </xf>
    <xf borderId="0" fillId="2" fontId="2" numFmtId="0" xfId="0" applyAlignment="1" applyFont="1">
      <alignment horizontal="right" readingOrder="0" shrinkToFit="0" wrapText="1"/>
    </xf>
    <xf borderId="0" fillId="0" fontId="15" numFmtId="167" xfId="0" applyAlignment="1" applyFont="1" applyNumberFormat="1">
      <alignment horizontal="left" readingOrder="0"/>
    </xf>
    <xf borderId="0" fillId="0" fontId="15" numFmtId="167" xfId="0" applyAlignment="1" applyFont="1" applyNumberFormat="1">
      <alignment horizontal="right" readingOrder="0"/>
    </xf>
    <xf borderId="0" fillId="0" fontId="15" numFmtId="0" xfId="0" applyFont="1"/>
    <xf borderId="0" fillId="0" fontId="15" numFmtId="167" xfId="0" applyAlignment="1" applyFont="1" applyNumberFormat="1">
      <alignment readingOrder="0"/>
    </xf>
    <xf borderId="1" fillId="0" fontId="9" numFmtId="0" xfId="0" applyAlignment="1" applyBorder="1" applyFont="1">
      <alignment horizontal="right" vertical="bottom"/>
    </xf>
    <xf borderId="1" fillId="0" fontId="17" numFmtId="0" xfId="0" applyAlignment="1" applyBorder="1" applyFont="1">
      <alignment readingOrder="0" vertical="bottom"/>
    </xf>
    <xf borderId="1" fillId="0" fontId="18" numFmtId="0" xfId="0" applyAlignment="1" applyBorder="1" applyFont="1">
      <alignment readingOrder="0" vertical="bottom"/>
    </xf>
    <xf borderId="0" fillId="0" fontId="3" numFmtId="166" xfId="0" applyAlignment="1" applyFont="1" applyNumberFormat="1">
      <alignment readingOrder="0"/>
    </xf>
    <xf borderId="0" fillId="0" fontId="0" numFmtId="0" xfId="0" applyAlignment="1" applyFont="1">
      <alignment readingOrder="0"/>
    </xf>
    <xf borderId="0" fillId="2" fontId="19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3" numFmtId="4" xfId="0" applyAlignment="1" applyFont="1" applyNumberFormat="1">
      <alignment horizontal="right" readingOrder="0"/>
    </xf>
    <xf borderId="0" fillId="2" fontId="3" numFmtId="2" xfId="0" applyAlignment="1" applyFont="1" applyNumberFormat="1">
      <alignment horizontal="right" readingOrder="0"/>
    </xf>
    <xf borderId="0" fillId="2" fontId="3" numFmtId="0" xfId="0" applyFont="1"/>
    <xf borderId="0" fillId="2" fontId="3" numFmtId="4" xfId="0" applyAlignment="1" applyFont="1" applyNumberFormat="1">
      <alignment readingOrder="0"/>
    </xf>
    <xf borderId="0" fillId="2" fontId="3" numFmtId="2" xfId="0" applyAlignment="1" applyFont="1" applyNumberForma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vertical="bottom"/>
    </xf>
    <xf borderId="0" fillId="0" fontId="6" numFmtId="2" xfId="0" applyAlignment="1" applyFont="1" applyNumberFormat="1">
      <alignment vertical="bottom"/>
    </xf>
    <xf borderId="0" fillId="0" fontId="20" numFmtId="0" xfId="0" applyAlignment="1" applyFont="1">
      <alignment vertical="bottom"/>
    </xf>
    <xf borderId="0" fillId="2" fontId="20" numFmtId="0" xfId="0" applyAlignment="1" applyFont="1">
      <alignment vertical="bottom"/>
    </xf>
    <xf borderId="0" fillId="2" fontId="6" numFmtId="4" xfId="0" applyAlignment="1" applyFont="1" applyNumberFormat="1">
      <alignment vertical="bottom"/>
    </xf>
    <xf borderId="0" fillId="2" fontId="6" numFmtId="2" xfId="0" applyAlignment="1" applyFont="1" applyNumberFormat="1">
      <alignment vertical="bottom"/>
    </xf>
    <xf borderId="0" fillId="2" fontId="6" numFmtId="0" xfId="0" applyAlignment="1" applyFont="1">
      <alignment vertical="bottom"/>
    </xf>
    <xf borderId="0" fillId="2" fontId="7" numFmtId="4" xfId="0" applyAlignment="1" applyFont="1" applyNumberFormat="1">
      <alignment horizontal="right" vertical="bottom"/>
    </xf>
    <xf borderId="0" fillId="2" fontId="7" numFmtId="2" xfId="0" applyAlignment="1" applyFont="1" applyNumberFormat="1">
      <alignment horizontal="right" vertical="bottom"/>
    </xf>
    <xf borderId="0" fillId="2" fontId="7" numFmtId="0" xfId="0" applyAlignment="1" applyFont="1">
      <alignment vertical="bottom"/>
    </xf>
    <xf borderId="0" fillId="2" fontId="7" numFmtId="4" xfId="0" applyAlignment="1" applyFont="1" applyNumberFormat="1">
      <alignment vertical="bottom"/>
    </xf>
    <xf borderId="0" fillId="2" fontId="7" numFmtId="2" xfId="0" applyAlignment="1" applyFont="1" applyNumberFormat="1">
      <alignment vertical="bottom"/>
    </xf>
    <xf borderId="1" fillId="0" fontId="20" numFmtId="0" xfId="0" applyAlignment="1" applyBorder="1" applyFont="1">
      <alignment vertical="bottom"/>
    </xf>
    <xf borderId="1" fillId="0" fontId="6" numFmtId="2" xfId="0" applyAlignment="1" applyBorder="1" applyFont="1" applyNumberFormat="1">
      <alignment vertical="bottom"/>
    </xf>
    <xf borderId="1" fillId="3" fontId="7" numFmtId="4" xfId="0" applyAlignment="1" applyBorder="1" applyFill="1" applyFont="1" applyNumberFormat="1">
      <alignment horizontal="right" vertical="bottom"/>
    </xf>
    <xf borderId="1" fillId="0" fontId="7" numFmtId="2" xfId="0" applyAlignment="1" applyBorder="1" applyFont="1" applyNumberFormat="1">
      <alignment horizontal="right" vertical="bottom"/>
    </xf>
    <xf borderId="1" fillId="4" fontId="7" numFmtId="4" xfId="0" applyAlignment="1" applyBorder="1" applyFill="1" applyFont="1" applyNumberFormat="1">
      <alignment horizontal="right" vertical="bottom"/>
    </xf>
    <xf borderId="1" fillId="4" fontId="7" numFmtId="4" xfId="0" applyAlignment="1" applyBorder="1" applyFont="1" applyNumberFormat="1">
      <alignment horizontal="right" readingOrder="0" vertical="bottom"/>
    </xf>
    <xf borderId="1" fillId="0" fontId="7" numFmtId="2" xfId="0" applyAlignment="1" applyBorder="1" applyFont="1" applyNumberFormat="1">
      <alignment horizontal="right" readingOrder="0" vertical="bottom"/>
    </xf>
    <xf borderId="1" fillId="0" fontId="7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0" fillId="2" fontId="3" numFmtId="167" xfId="0" applyAlignment="1" applyFont="1" applyNumberFormat="1">
      <alignment readingOrder="0"/>
    </xf>
    <xf borderId="1" fillId="0" fontId="21" numFmtId="0" xfId="0" applyAlignment="1" applyBorder="1" applyFont="1">
      <alignment horizontal="center" readingOrder="0"/>
    </xf>
    <xf borderId="1" fillId="0" fontId="21" numFmtId="0" xfId="0" applyAlignment="1" applyBorder="1" applyFont="1">
      <alignment readingOrder="0"/>
    </xf>
    <xf borderId="1" fillId="0" fontId="22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0" fillId="0" fontId="23" numFmtId="0" xfId="0" applyAlignment="1" applyFont="1">
      <alignment readingOrder="0"/>
    </xf>
    <xf borderId="0" fillId="2" fontId="23" numFmtId="0" xfId="0" applyAlignment="1" applyFont="1">
      <alignment readingOrder="0"/>
    </xf>
    <xf borderId="0" fillId="0" fontId="24" numFmtId="0" xfId="0" applyAlignment="1" applyFont="1">
      <alignment vertical="bottom"/>
    </xf>
    <xf borderId="0" fillId="0" fontId="6" numFmtId="1" xfId="0" applyAlignment="1" applyFont="1" applyNumberFormat="1">
      <alignment vertical="bottom"/>
    </xf>
    <xf borderId="0" fillId="2" fontId="3" numFmtId="0" xfId="0" applyAlignment="1" applyFont="1">
      <alignment readingOrder="0"/>
    </xf>
    <xf borderId="0" fillId="2" fontId="3" numFmtId="1" xfId="0" applyAlignment="1" applyFont="1" applyNumberFormat="1">
      <alignment readingOrder="0"/>
    </xf>
    <xf borderId="0" fillId="0" fontId="24" numFmtId="0" xfId="0" applyAlignment="1" applyFont="1">
      <alignment vertical="bottom"/>
    </xf>
    <xf borderId="0" fillId="2" fontId="3" numFmtId="1" xfId="0" applyAlignment="1" applyFont="1" applyNumberFormat="1">
      <alignment horizontal="right" readingOrder="0"/>
    </xf>
    <xf borderId="0" fillId="2" fontId="24" numFmtId="0" xfId="0" applyAlignment="1" applyFont="1">
      <alignment vertical="bottom"/>
    </xf>
    <xf borderId="0" fillId="2" fontId="6" numFmtId="1" xfId="0" applyAlignment="1" applyFont="1" applyNumberFormat="1">
      <alignment vertical="bottom"/>
    </xf>
    <xf borderId="0" fillId="2" fontId="7" numFmtId="0" xfId="0" applyAlignment="1" applyFont="1">
      <alignment horizontal="right" vertical="bottom"/>
    </xf>
    <xf borderId="0" fillId="2" fontId="7" numFmtId="1" xfId="0" applyAlignment="1" applyFont="1" applyNumberFormat="1">
      <alignment horizontal="right" vertical="bottom"/>
    </xf>
    <xf borderId="0" fillId="2" fontId="7" numFmtId="1" xfId="0" applyAlignment="1" applyFont="1" applyNumberFormat="1">
      <alignment vertical="bottom"/>
    </xf>
    <xf borderId="1" fillId="0" fontId="24" numFmtId="0" xfId="0" applyAlignment="1" applyBorder="1" applyFont="1">
      <alignment vertical="bottom"/>
    </xf>
    <xf borderId="1" fillId="0" fontId="6" numFmtId="1" xfId="0" applyAlignment="1" applyBorder="1" applyFont="1" applyNumberFormat="1">
      <alignment vertical="bottom"/>
    </xf>
    <xf borderId="1" fillId="3" fontId="7" numFmtId="0" xfId="0" applyAlignment="1" applyBorder="1" applyFont="1">
      <alignment horizontal="right" readingOrder="0" vertical="bottom"/>
    </xf>
    <xf borderId="1" fillId="0" fontId="7" numFmtId="1" xfId="0" applyAlignment="1" applyBorder="1" applyFont="1" applyNumberFormat="1">
      <alignment horizontal="right" readingOrder="0" vertical="bottom"/>
    </xf>
    <xf borderId="1" fillId="4" fontId="7" numFmtId="0" xfId="0" applyAlignment="1" applyBorder="1" applyFont="1">
      <alignment horizontal="right" vertical="bottom"/>
    </xf>
    <xf borderId="1" fillId="0" fontId="7" numFmtId="1" xfId="0" applyAlignment="1" applyBorder="1" applyFont="1" applyNumberFormat="1">
      <alignment horizontal="right" vertical="bottom"/>
    </xf>
    <xf borderId="1" fillId="0" fontId="7" numFmtId="1" xfId="0" applyAlignment="1" applyBorder="1" applyFont="1" applyNumberFormat="1">
      <alignment vertical="bottom"/>
    </xf>
    <xf borderId="1" fillId="4" fontId="7" numFmtId="0" xfId="0" applyAlignment="1" applyBorder="1" applyFont="1">
      <alignment horizontal="right" readingOrder="0" vertical="bottom"/>
    </xf>
    <xf borderId="0" fillId="2" fontId="25" numFmtId="0" xfId="0" applyAlignment="1" applyFont="1">
      <alignment readingOrder="0"/>
    </xf>
    <xf borderId="0" fillId="0" fontId="26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2" fontId="22" numFmtId="0" xfId="0" applyAlignment="1" applyFont="1">
      <alignment readingOrder="0"/>
    </xf>
    <xf borderId="0" fillId="2" fontId="26" numFmtId="0" xfId="0" applyAlignment="1" applyFont="1">
      <alignment vertical="bottom"/>
    </xf>
    <xf borderId="1" fillId="0" fontId="26" numFmtId="0" xfId="0" applyAlignment="1" applyBorder="1" applyFont="1">
      <alignment vertical="bottom"/>
    </xf>
    <xf borderId="1" fillId="0" fontId="7" numFmtId="0" xfId="0" applyAlignment="1" applyBorder="1" applyFont="1">
      <alignment horizontal="right" readingOrder="0" vertical="bottom"/>
    </xf>
    <xf borderId="1" fillId="3" fontId="7" numFmtId="0" xfId="0" applyAlignment="1" applyBorder="1" applyFont="1">
      <alignment horizontal="right" vertical="bottom"/>
    </xf>
    <xf borderId="0" fillId="0" fontId="27" numFmtId="0" xfId="0" applyAlignment="1" applyFont="1">
      <alignment readingOrder="0"/>
    </xf>
    <xf borderId="0" fillId="2" fontId="3" numFmtId="0" xfId="0" applyAlignment="1" applyFont="1">
      <alignment horizontal="right"/>
    </xf>
    <xf borderId="0" fillId="2" fontId="26" numFmtId="0" xfId="0" applyAlignment="1" applyFont="1">
      <alignment readingOrder="0" vertical="bottom"/>
    </xf>
    <xf borderId="1" fillId="0" fontId="3" numFmtId="0" xfId="0" applyAlignment="1" applyBorder="1" applyFont="1">
      <alignment readingOrder="0"/>
    </xf>
    <xf borderId="0" fillId="0" fontId="7" numFmtId="0" xfId="0" applyAlignment="1" applyFont="1">
      <alignment horizontal="right" vertical="bottom"/>
    </xf>
    <xf borderId="0" fillId="2" fontId="8" numFmtId="0" xfId="0" applyFont="1"/>
    <xf borderId="0" fillId="0" fontId="28" numFmtId="0" xfId="0" applyAlignment="1" applyFont="1">
      <alignment readingOrder="0"/>
    </xf>
    <xf borderId="1" fillId="2" fontId="7" numFmtId="0" xfId="0" applyAlignment="1" applyBorder="1" applyFont="1">
      <alignment horizontal="right" readingOrder="0" vertical="bottom"/>
    </xf>
    <xf borderId="0" fillId="0" fontId="29" numFmtId="0" xfId="0" applyAlignment="1" applyFont="1">
      <alignment readingOrder="0"/>
    </xf>
    <xf borderId="1" fillId="0" fontId="28" numFmtId="0" xfId="0" applyAlignment="1" applyBorder="1" applyFont="1">
      <alignment readingOrder="0"/>
    </xf>
    <xf borderId="0" fillId="2" fontId="3" numFmtId="0" xfId="0" applyAlignment="1" applyFont="1">
      <alignment horizontal="right" readingOrder="0"/>
    </xf>
    <xf borderId="0" fillId="0" fontId="25" numFmtId="0" xfId="0" applyAlignment="1" applyFont="1">
      <alignment readingOrder="0"/>
    </xf>
    <xf borderId="0" fillId="2" fontId="13" numFmtId="0" xfId="0" applyAlignment="1" applyFont="1">
      <alignment readingOrder="0"/>
    </xf>
    <xf borderId="0" fillId="0" fontId="7" numFmtId="2" xfId="0" applyAlignment="1" applyFont="1" applyNumberFormat="1">
      <alignment horizontal="right" vertical="bottom"/>
    </xf>
    <xf borderId="0" fillId="0" fontId="0" numFmtId="0" xfId="0" applyFont="1"/>
    <xf borderId="1" fillId="0" fontId="7" numFmtId="0" xfId="0" applyAlignment="1" applyBorder="1" applyFont="1">
      <alignment horizontal="right" vertical="bottom"/>
    </xf>
    <xf borderId="1" fillId="2" fontId="7" numFmtId="0" xfId="0" applyAlignment="1" applyBorder="1" applyFont="1">
      <alignment vertical="bottom"/>
    </xf>
    <xf borderId="0" fillId="2" fontId="30" numFmtId="0" xfId="0" applyAlignment="1" applyFont="1">
      <alignment readingOrder="0"/>
    </xf>
    <xf borderId="0" fillId="0" fontId="31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1" numFmtId="2" xfId="0" applyAlignment="1" applyFont="1" applyNumberFormat="1">
      <alignment vertical="bottom"/>
    </xf>
    <xf borderId="0" fillId="2" fontId="31" numFmtId="0" xfId="0" applyAlignment="1" applyFont="1">
      <alignment vertical="bottom"/>
    </xf>
    <xf borderId="0" fillId="2" fontId="31" numFmtId="2" xfId="0" applyAlignment="1" applyFont="1" applyNumberFormat="1">
      <alignment vertical="bottom"/>
    </xf>
    <xf borderId="1" fillId="0" fontId="31" numFmtId="0" xfId="0" applyAlignment="1" applyBorder="1" applyFont="1">
      <alignment vertical="bottom"/>
    </xf>
    <xf borderId="1" fillId="0" fontId="31" numFmtId="2" xfId="0" applyAlignment="1" applyBorder="1" applyFont="1" applyNumberFormat="1">
      <alignment vertical="bottom"/>
    </xf>
    <xf borderId="0" fillId="0" fontId="7" numFmtId="0" xfId="0" applyAlignment="1" applyFont="1">
      <alignment horizontal="right" vertical="bottom"/>
    </xf>
    <xf borderId="1" fillId="2" fontId="3" numFmtId="0" xfId="0" applyAlignment="1" applyBorder="1" applyFont="1">
      <alignment readingOrder="0"/>
    </xf>
    <xf borderId="0" fillId="0" fontId="7" numFmtId="0" xfId="0" applyAlignment="1" applyFont="1">
      <alignment horizontal="right" readingOrder="0" vertical="bottom"/>
    </xf>
    <xf borderId="0" fillId="2" fontId="3" numFmtId="168" xfId="0" applyAlignment="1" applyFont="1" applyNumberFormat="1">
      <alignment readingOrder="0"/>
    </xf>
    <xf borderId="0" fillId="2" fontId="6" numFmtId="168" xfId="0" applyAlignment="1" applyFont="1" applyNumberFormat="1">
      <alignment vertical="bottom"/>
    </xf>
    <xf borderId="0" fillId="2" fontId="7" numFmtId="168" xfId="0" applyAlignment="1" applyFont="1" applyNumberFormat="1">
      <alignment horizontal="right" vertical="bottom"/>
    </xf>
    <xf borderId="0" fillId="2" fontId="7" numFmtId="168" xfId="0" applyAlignment="1" applyFont="1" applyNumberFormat="1">
      <alignment vertical="bottom"/>
    </xf>
    <xf borderId="1" fillId="3" fontId="7" numFmtId="168" xfId="0" applyAlignment="1" applyBorder="1" applyFont="1" applyNumberFormat="1">
      <alignment horizontal="right" vertical="bottom"/>
    </xf>
    <xf borderId="1" fillId="4" fontId="7" numFmtId="168" xfId="0" applyAlignment="1" applyBorder="1" applyFont="1" applyNumberFormat="1">
      <alignment horizontal="right" vertical="bottom"/>
    </xf>
    <xf borderId="1" fillId="3" fontId="7" numFmtId="168" xfId="0" applyAlignment="1" applyBorder="1" applyFont="1" applyNumberFormat="1">
      <alignment horizontal="right" readingOrder="0" vertical="bottom"/>
    </xf>
    <xf borderId="0" fillId="0" fontId="6" numFmtId="169" xfId="0" applyAlignment="1" applyFont="1" applyNumberFormat="1">
      <alignment vertical="bottom"/>
    </xf>
    <xf borderId="0" fillId="2" fontId="3" numFmtId="169" xfId="0" applyAlignment="1" applyFont="1" applyNumberFormat="1">
      <alignment readingOrder="0"/>
    </xf>
    <xf borderId="0" fillId="2" fontId="3" numFmtId="169" xfId="0" applyAlignment="1" applyFont="1" applyNumberFormat="1">
      <alignment horizontal="right" readingOrder="0"/>
    </xf>
    <xf borderId="0" fillId="2" fontId="6" numFmtId="169" xfId="0" applyAlignment="1" applyFont="1" applyNumberFormat="1">
      <alignment vertical="bottom"/>
    </xf>
    <xf borderId="0" fillId="2" fontId="7" numFmtId="169" xfId="0" applyAlignment="1" applyFont="1" applyNumberFormat="1">
      <alignment horizontal="right" vertical="bottom"/>
    </xf>
    <xf borderId="0" fillId="2" fontId="7" numFmtId="169" xfId="0" applyAlignment="1" applyFont="1" applyNumberFormat="1">
      <alignment vertical="bottom"/>
    </xf>
    <xf borderId="1" fillId="0" fontId="7" numFmtId="169" xfId="0" applyAlignment="1" applyBorder="1" applyFont="1" applyNumberFormat="1">
      <alignment horizontal="right" readingOrder="0" vertical="bottom"/>
    </xf>
    <xf borderId="1" fillId="2" fontId="7" numFmtId="0" xfId="0" applyAlignment="1" applyBorder="1" applyFont="1">
      <alignment readingOrder="0" vertical="bottom"/>
    </xf>
    <xf borderId="0" fillId="0" fontId="26" numFmtId="0" xfId="0" applyAlignment="1" applyFont="1">
      <alignment readingOrder="0" vertical="bottom"/>
    </xf>
    <xf borderId="1" fillId="2" fontId="7" numFmtId="0" xfId="0" applyAlignment="1" applyBorder="1" applyFont="1">
      <alignment horizontal="right" vertical="bottom"/>
    </xf>
    <xf borderId="0" fillId="0" fontId="29" numFmtId="0" xfId="0" applyFont="1"/>
    <xf borderId="2" fillId="0" fontId="25" numFmtId="0" xfId="0" applyAlignment="1" applyBorder="1" applyFont="1">
      <alignment readingOrder="0"/>
    </xf>
    <xf borderId="1" fillId="0" fontId="25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8" numFmtId="0" xfId="0" applyBorder="1" applyFont="1"/>
    <xf borderId="1" fillId="0" fontId="3" numFmtId="0" xfId="0" applyBorder="1" applyFont="1"/>
    <xf borderId="1" fillId="3" fontId="3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1" fillId="0" fontId="3" numFmtId="169" xfId="0" applyAlignment="1" applyBorder="1" applyFont="1" applyNumberFormat="1">
      <alignment readingOrder="0"/>
    </xf>
    <xf borderId="0" fillId="0" fontId="29" numFmtId="167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32" numFmtId="0" xfId="0" applyAlignment="1" applyFont="1">
      <alignment vertical="bottom"/>
    </xf>
    <xf borderId="1" fillId="0" fontId="26" numFmtId="0" xfId="0" applyAlignment="1" applyBorder="1" applyFont="1">
      <alignment vertical="bottom"/>
    </xf>
    <xf borderId="1" fillId="0" fontId="32" numFmtId="0" xfId="0" applyAlignment="1" applyBorder="1" applyFont="1">
      <alignment vertical="bottom"/>
    </xf>
    <xf borderId="1" fillId="4" fontId="7" numFmtId="0" xfId="0" applyAlignment="1" applyBorder="1" applyFont="1">
      <alignment vertical="bottom"/>
    </xf>
    <xf borderId="0" fillId="2" fontId="21" numFmtId="0" xfId="0" applyAlignment="1" applyFont="1">
      <alignment readingOrder="0"/>
    </xf>
    <xf borderId="1" fillId="4" fontId="3" numFmtId="3" xfId="0" applyAlignment="1" applyBorder="1" applyFont="1" applyNumberFormat="1">
      <alignment readingOrder="0"/>
    </xf>
    <xf borderId="1" fillId="4" fontId="3" numFmtId="3" xfId="0" applyBorder="1" applyFont="1" applyNumberFormat="1"/>
    <xf borderId="0" fillId="2" fontId="13" numFmtId="3" xfId="0" applyAlignment="1" applyFont="1" applyNumberFormat="1">
      <alignment horizontal="right" readingOrder="0"/>
    </xf>
    <xf borderId="1" fillId="0" fontId="21" numFmtId="0" xfId="0" applyBorder="1" applyFont="1"/>
    <xf borderId="1" fillId="2" fontId="3" numFmtId="0" xfId="0" applyBorder="1" applyFont="1"/>
    <xf borderId="0" fillId="2" fontId="21" numFmtId="0" xfId="0" applyFont="1"/>
    <xf borderId="0" fillId="0" fontId="21" numFmtId="0" xfId="0" applyFont="1"/>
    <xf borderId="0" fillId="2" fontId="3" numFmtId="3" xfId="0" applyAlignment="1" applyFont="1" applyNumberFormat="1">
      <alignment horizontal="right" readingOrder="0"/>
    </xf>
    <xf borderId="0" fillId="0" fontId="3" numFmtId="3" xfId="0" applyFont="1" applyNumberFormat="1"/>
    <xf borderId="0" fillId="0" fontId="3" numFmtId="2" xfId="0" applyAlignment="1" applyFont="1" applyNumberFormat="1">
      <alignment horizontal="right" readingOrder="0"/>
    </xf>
    <xf borderId="1" fillId="4" fontId="13" numFmtId="3" xfId="0" applyAlignment="1" applyBorder="1" applyFont="1" applyNumberFormat="1">
      <alignment readingOrder="0"/>
    </xf>
    <xf borderId="1" fillId="4" fontId="29" numFmtId="3" xfId="0" applyAlignment="1" applyBorder="1" applyFont="1" applyNumberFormat="1">
      <alignment readingOrder="0"/>
    </xf>
    <xf borderId="1" fillId="3" fontId="13" numFmtId="3" xfId="0" applyAlignment="1" applyBorder="1" applyFont="1" applyNumberFormat="1">
      <alignment readingOrder="0"/>
    </xf>
    <xf borderId="1" fillId="3" fontId="3" numFmtId="3" xfId="0" applyBorder="1" applyFont="1" applyNumberFormat="1"/>
    <xf borderId="1" fillId="3" fontId="3" numFmtId="3" xfId="0" applyAlignment="1" applyBorder="1" applyFont="1" applyNumberFormat="1">
      <alignment readingOrder="0"/>
    </xf>
    <xf borderId="0" fillId="2" fontId="3" numFmtId="3" xfId="0" applyAlignment="1" applyFont="1" applyNumberFormat="1">
      <alignment readingOrder="0"/>
    </xf>
    <xf borderId="0" fillId="2" fontId="13" numFmtId="3" xfId="0" applyAlignment="1" applyFont="1" applyNumberFormat="1">
      <alignment readingOrder="0"/>
    </xf>
    <xf borderId="0" fillId="2" fontId="29" numFmtId="3" xfId="0" applyAlignment="1" applyFont="1" applyNumberFormat="1">
      <alignment readingOrder="0"/>
    </xf>
    <xf borderId="0" fillId="0" fontId="7" numFmtId="167" xfId="0" applyAlignment="1" applyFont="1" applyNumberFormat="1">
      <alignment horizontal="right" vertical="bottom"/>
    </xf>
    <xf borderId="0" fillId="2" fontId="26" numFmtId="0" xfId="0" applyAlignment="1" applyFont="1">
      <alignment vertical="bottom"/>
    </xf>
    <xf borderId="0" fillId="2" fontId="32" numFmtId="3" xfId="0" applyAlignment="1" applyFont="1" applyNumberFormat="1">
      <alignment readingOrder="0" vertical="bottom"/>
    </xf>
    <xf borderId="0" fillId="2" fontId="32" numFmtId="3" xfId="0" applyAlignment="1" applyFont="1" applyNumberFormat="1">
      <alignment vertical="bottom"/>
    </xf>
    <xf borderId="0" fillId="2" fontId="32" numFmtId="0" xfId="0" applyAlignment="1" applyFont="1">
      <alignment vertical="bottom"/>
    </xf>
    <xf borderId="0" fillId="2" fontId="32" numFmtId="170" xfId="0" applyAlignment="1" applyFont="1" applyNumberFormat="1">
      <alignment horizontal="left" readingOrder="0" vertical="bottom"/>
    </xf>
    <xf borderId="0" fillId="2" fontId="7" numFmtId="3" xfId="0" applyAlignment="1" applyFont="1" applyNumberFormat="1">
      <alignment horizontal="right" vertical="bottom"/>
    </xf>
    <xf borderId="0" fillId="2" fontId="32" numFmtId="0" xfId="0" applyAlignment="1" applyFont="1">
      <alignment readingOrder="0" vertical="bottom"/>
    </xf>
    <xf borderId="0" fillId="2" fontId="7" numFmtId="3" xfId="0" applyAlignment="1" applyFont="1" applyNumberFormat="1">
      <alignment horizontal="right" readingOrder="0" vertical="bottom"/>
    </xf>
    <xf borderId="0" fillId="2" fontId="7" numFmtId="0" xfId="0" applyAlignment="1" applyFont="1">
      <alignment horizontal="left" vertical="bottom"/>
    </xf>
    <xf borderId="0" fillId="2" fontId="7" numFmtId="3" xfId="0" applyAlignment="1" applyFont="1" applyNumberFormat="1">
      <alignment vertical="bottom"/>
    </xf>
    <xf borderId="0" fillId="2" fontId="26" numFmtId="170" xfId="0" applyAlignment="1" applyFont="1" applyNumberFormat="1">
      <alignment vertical="bottom"/>
    </xf>
    <xf borderId="1" fillId="0" fontId="26" numFmtId="170" xfId="0" applyAlignment="1" applyBorder="1" applyFont="1" applyNumberFormat="1">
      <alignment vertical="bottom"/>
    </xf>
    <xf borderId="1" fillId="0" fontId="32" numFmtId="3" xfId="0" applyAlignment="1" applyBorder="1" applyFont="1" applyNumberFormat="1">
      <alignment vertical="bottom"/>
    </xf>
    <xf borderId="0" fillId="2" fontId="32" numFmtId="170" xfId="0" applyAlignment="1" applyFont="1" applyNumberFormat="1">
      <alignment vertical="bottom"/>
    </xf>
    <xf borderId="1" fillId="0" fontId="32" numFmtId="0" xfId="0" applyAlignment="1" applyBorder="1" applyFont="1">
      <alignment readingOrder="0" vertical="bottom"/>
    </xf>
    <xf borderId="1" fillId="3" fontId="7" numFmtId="3" xfId="0" applyAlignment="1" applyBorder="1" applyFont="1" applyNumberFormat="1">
      <alignment horizontal="right" vertical="bottom"/>
    </xf>
    <xf borderId="0" fillId="2" fontId="7" numFmtId="170" xfId="0" applyAlignment="1" applyFont="1" applyNumberFormat="1">
      <alignment vertical="bottom"/>
    </xf>
    <xf borderId="1" fillId="0" fontId="7" numFmtId="170" xfId="0" applyAlignment="1" applyBorder="1" applyFont="1" applyNumberFormat="1">
      <alignment vertical="bottom"/>
    </xf>
    <xf borderId="1" fillId="0" fontId="32" numFmtId="170" xfId="0" applyAlignment="1" applyBorder="1" applyFont="1" applyNumberFormat="1">
      <alignment vertical="bottom"/>
    </xf>
    <xf borderId="1" fillId="4" fontId="7" numFmtId="3" xfId="0" applyAlignment="1" applyBorder="1" applyFont="1" applyNumberFormat="1">
      <alignment horizontal="right" vertical="bottom"/>
    </xf>
    <xf borderId="0" fillId="0" fontId="7" numFmtId="167" xfId="0" applyAlignment="1" applyFont="1" applyNumberFormat="1">
      <alignment horizontal="right" readingOrder="0" vertical="bottom"/>
    </xf>
    <xf borderId="1" fillId="0" fontId="32" numFmtId="170" xfId="0" applyAlignment="1" applyBorder="1" applyFont="1" applyNumberFormat="1">
      <alignment horizontal="left" vertical="bottom"/>
    </xf>
    <xf borderId="1" fillId="2" fontId="7" numFmtId="3" xfId="0" applyAlignment="1" applyBorder="1" applyFont="1" applyNumberFormat="1">
      <alignment vertical="bottom"/>
    </xf>
    <xf borderId="0" fillId="2" fontId="7" numFmtId="0" xfId="0" applyAlignment="1" applyFont="1">
      <alignment vertical="bottom"/>
    </xf>
    <xf borderId="0" fillId="2" fontId="32" numFmtId="0" xfId="0" applyAlignment="1" applyFont="1">
      <alignment horizontal="left" readingOrder="0" vertical="bottom"/>
    </xf>
    <xf borderId="0" fillId="2" fontId="29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63"/>
    <col customWidth="1" min="4" max="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45778.0</v>
      </c>
      <c r="B2" s="3" t="s">
        <v>4</v>
      </c>
      <c r="C2" s="3">
        <v>96000.0</v>
      </c>
      <c r="D2" s="3">
        <v>3.37344E7</v>
      </c>
    </row>
    <row r="3">
      <c r="A3" s="2">
        <v>45779.0</v>
      </c>
      <c r="B3" s="3" t="s">
        <v>5</v>
      </c>
      <c r="C3" s="3">
        <v>96925.0</v>
      </c>
      <c r="D3" s="3">
        <v>6.5414683E7</v>
      </c>
    </row>
    <row r="4">
      <c r="A4" s="2">
        <v>45782.0</v>
      </c>
      <c r="B4" s="3" t="s">
        <v>6</v>
      </c>
      <c r="C4" s="3">
        <v>94584.0</v>
      </c>
      <c r="D4" s="3">
        <v>5.0243021E7</v>
      </c>
    </row>
    <row r="5">
      <c r="A5" s="2">
        <v>45783.0</v>
      </c>
      <c r="B5" s="3" t="s">
        <v>7</v>
      </c>
      <c r="C5" s="3">
        <v>95556.0</v>
      </c>
      <c r="D5" s="3">
        <v>3506905.0</v>
      </c>
    </row>
    <row r="6">
      <c r="A6" s="2">
        <v>45784.0</v>
      </c>
      <c r="B6" s="3" t="s">
        <v>8</v>
      </c>
      <c r="C6" s="3">
        <v>96793.0</v>
      </c>
      <c r="D6" s="3">
        <v>3600700.0</v>
      </c>
    </row>
    <row r="7">
      <c r="A7" s="2">
        <v>45785.0</v>
      </c>
      <c r="B7" s="3">
        <v>69.0</v>
      </c>
      <c r="C7" s="3">
        <v>101476.0</v>
      </c>
      <c r="D7" s="3">
        <v>7001844.0</v>
      </c>
    </row>
    <row r="8">
      <c r="A8" s="2">
        <v>45786.0</v>
      </c>
      <c r="B8" s="3" t="s">
        <v>9</v>
      </c>
      <c r="C8" s="3">
        <v>103200.0</v>
      </c>
      <c r="D8" s="3">
        <v>3.675984E7</v>
      </c>
    </row>
    <row r="9">
      <c r="A9" s="4">
        <v>45789.0</v>
      </c>
      <c r="B9" s="3" t="s">
        <v>10</v>
      </c>
      <c r="C9" s="3">
        <v>103155.0</v>
      </c>
      <c r="D9" s="3">
        <v>7158957.0</v>
      </c>
    </row>
    <row r="10">
      <c r="A10" s="4">
        <v>45790.0</v>
      </c>
      <c r="B10" s="3">
        <v>0.0</v>
      </c>
      <c r="C10" s="3">
        <v>103509.0</v>
      </c>
      <c r="D10" s="3">
        <v>0.0</v>
      </c>
    </row>
    <row r="11">
      <c r="A11" s="4">
        <v>45791.0</v>
      </c>
      <c r="B11" s="3" t="s">
        <v>11</v>
      </c>
      <c r="C11" s="3">
        <v>103376.0</v>
      </c>
      <c r="D11" s="3">
        <v>2.407627E7</v>
      </c>
    </row>
    <row r="12">
      <c r="A12" s="4">
        <v>45792.0</v>
      </c>
      <c r="B12" s="3" t="s">
        <v>12</v>
      </c>
      <c r="C12" s="3">
        <v>103067.0</v>
      </c>
      <c r="D12" s="3">
        <v>4.222655E7</v>
      </c>
    </row>
    <row r="13">
      <c r="A13" s="4">
        <v>45793.0</v>
      </c>
      <c r="B13" s="3" t="s">
        <v>13</v>
      </c>
      <c r="C13" s="3">
        <v>103597.0</v>
      </c>
      <c r="D13" s="3">
        <v>1.3436531E7</v>
      </c>
    </row>
    <row r="14">
      <c r="A14" s="4">
        <v>45796.0</v>
      </c>
      <c r="B14" s="3" t="s">
        <v>14</v>
      </c>
      <c r="C14" s="3">
        <v>104923.0</v>
      </c>
      <c r="D14" s="3">
        <v>3.2095946E7</v>
      </c>
    </row>
    <row r="15">
      <c r="A15" s="4">
        <v>45797.0</v>
      </c>
      <c r="B15" s="3" t="s">
        <v>15</v>
      </c>
      <c r="C15" s="3">
        <v>106071.0</v>
      </c>
      <c r="D15" s="3">
        <v>3.0495413E7</v>
      </c>
    </row>
    <row r="16">
      <c r="A16" s="4">
        <v>45798.0</v>
      </c>
      <c r="B16" s="3" t="s">
        <v>16</v>
      </c>
      <c r="C16" s="3">
        <v>108722.0</v>
      </c>
      <c r="D16" s="3">
        <v>5.7687893E7</v>
      </c>
    </row>
    <row r="17">
      <c r="A17" s="4">
        <v>45799.0</v>
      </c>
      <c r="B17" s="3" t="s">
        <v>17</v>
      </c>
      <c r="C17" s="3">
        <v>110900.0</v>
      </c>
      <c r="D17" s="3">
        <v>9.728148E7</v>
      </c>
    </row>
    <row r="18">
      <c r="A18" s="4">
        <v>45800.0</v>
      </c>
      <c r="B18" s="3" t="s">
        <v>18</v>
      </c>
      <c r="C18" s="3">
        <v>108620.0</v>
      </c>
      <c r="D18" s="3">
        <v>4.6793496E7</v>
      </c>
    </row>
    <row r="19">
      <c r="A19" s="4">
        <v>45803.0</v>
      </c>
      <c r="B19" s="3">
        <v>0.0</v>
      </c>
      <c r="C19" s="3">
        <v>109482.0</v>
      </c>
      <c r="D19" s="3">
        <v>0.0</v>
      </c>
    </row>
    <row r="20">
      <c r="A20" s="4">
        <v>45804.0</v>
      </c>
      <c r="B20" s="3" t="s">
        <v>19</v>
      </c>
      <c r="C20" s="3">
        <v>109057.0</v>
      </c>
      <c r="D20" s="3">
        <v>4.463703E7</v>
      </c>
    </row>
    <row r="21">
      <c r="A21" s="4">
        <v>45805.0</v>
      </c>
      <c r="B21" s="3">
        <v>481.0</v>
      </c>
      <c r="C21" s="3">
        <v>107917.0</v>
      </c>
      <c r="D21" s="3">
        <v>5.1908077E7</v>
      </c>
    </row>
    <row r="22">
      <c r="A22" s="4">
        <v>45806.0</v>
      </c>
      <c r="B22" s="3" t="s">
        <v>20</v>
      </c>
      <c r="C22" s="3">
        <v>106605.0</v>
      </c>
      <c r="D22" s="3">
        <v>1.3336286E7</v>
      </c>
    </row>
    <row r="23">
      <c r="A23" s="4">
        <v>45807.0</v>
      </c>
      <c r="B23" s="3" t="s">
        <v>21</v>
      </c>
      <c r="C23" s="3">
        <v>104643.0</v>
      </c>
      <c r="D23" s="3">
        <v>-4.5080204E7</v>
      </c>
    </row>
    <row r="24">
      <c r="A24" s="5">
        <v>45810.0</v>
      </c>
      <c r="B24" s="3" t="s">
        <v>22</v>
      </c>
      <c r="C24" s="3">
        <v>105140.0</v>
      </c>
      <c r="D24" s="3">
        <v>-1.3710256E7</v>
      </c>
    </row>
    <row r="25">
      <c r="A25" s="5">
        <v>45811.0</v>
      </c>
      <c r="B25" s="3">
        <v>58.0</v>
      </c>
      <c r="C25" s="3">
        <v>105652.0</v>
      </c>
      <c r="D25" s="3">
        <v>6127816.0</v>
      </c>
    </row>
    <row r="26">
      <c r="A26" s="5">
        <v>45812.0</v>
      </c>
      <c r="B26" s="3">
        <v>284.0</v>
      </c>
      <c r="C26" s="3">
        <v>104961.0</v>
      </c>
      <c r="D26" s="3">
        <v>2.9808924E7</v>
      </c>
    </row>
    <row r="27">
      <c r="A27" s="5">
        <v>45813.0</v>
      </c>
      <c r="B27" s="3">
        <v>0.0</v>
      </c>
      <c r="C27" s="3">
        <v>102623.0</v>
      </c>
      <c r="D27" s="3">
        <v>0.0</v>
      </c>
    </row>
    <row r="28">
      <c r="A28" s="5">
        <v>45814.0</v>
      </c>
      <c r="B28" s="3" t="s">
        <v>23</v>
      </c>
      <c r="C28" s="3">
        <v>103553.0</v>
      </c>
      <c r="D28" s="3">
        <v>-1.3513666E7</v>
      </c>
    </row>
    <row r="29">
      <c r="A29" s="5">
        <v>45817.0</v>
      </c>
      <c r="B29" s="3" t="s">
        <v>24</v>
      </c>
      <c r="C29" s="3">
        <v>108765.0</v>
      </c>
      <c r="D29" s="3">
        <v>1.3149689E7</v>
      </c>
    </row>
    <row r="30">
      <c r="A30" s="6">
        <v>45818.0</v>
      </c>
      <c r="B30" s="3" t="s">
        <v>25</v>
      </c>
      <c r="C30" s="3">
        <v>109636.0</v>
      </c>
      <c r="D30" s="3">
        <v>3.6914441E7</v>
      </c>
    </row>
    <row r="31">
      <c r="A31" s="6">
        <v>45819.0</v>
      </c>
      <c r="B31" s="3">
        <v>131.0</v>
      </c>
      <c r="C31" s="3">
        <v>109027.0</v>
      </c>
      <c r="D31" s="3">
        <v>1.4282537E7</v>
      </c>
    </row>
    <row r="32">
      <c r="A32" s="6">
        <v>45820.0</v>
      </c>
      <c r="B32" s="3" t="s">
        <v>26</v>
      </c>
      <c r="C32" s="3">
        <v>106642.0</v>
      </c>
      <c r="D32" s="3">
        <v>3.0744889E7</v>
      </c>
    </row>
    <row r="33">
      <c r="A33" s="6">
        <v>45821.0</v>
      </c>
      <c r="B33" s="3">
        <v>239.0</v>
      </c>
      <c r="C33" s="3">
        <v>104984.0</v>
      </c>
      <c r="D33" s="3">
        <v>2.5091176E7</v>
      </c>
    </row>
    <row r="34">
      <c r="A34" s="6">
        <v>45824.0</v>
      </c>
      <c r="B34" s="3" t="s">
        <v>27</v>
      </c>
      <c r="C34" s="3">
        <v>106865.0</v>
      </c>
      <c r="D34" s="3">
        <v>2.8490209E7</v>
      </c>
    </row>
    <row r="35">
      <c r="A35" s="6">
        <v>45825.0</v>
      </c>
      <c r="B35" s="3" t="s">
        <v>28</v>
      </c>
      <c r="C35" s="3">
        <v>105205.0</v>
      </c>
      <c r="D35" s="3">
        <v>6.7247036E7</v>
      </c>
    </row>
    <row r="36">
      <c r="A36" s="6">
        <v>45826.0</v>
      </c>
      <c r="B36" s="3" t="s">
        <v>29</v>
      </c>
      <c r="C36" s="3">
        <v>104640.0</v>
      </c>
      <c r="D36" s="3">
        <v>2.9184096E7</v>
      </c>
    </row>
    <row r="37">
      <c r="A37" s="6">
        <v>45827.0</v>
      </c>
      <c r="B37" s="3">
        <v>0.0</v>
      </c>
      <c r="C37" s="3">
        <v>104586.0</v>
      </c>
      <c r="D37" s="3">
        <v>0.0</v>
      </c>
    </row>
    <row r="38">
      <c r="A38" s="6">
        <v>45828.0</v>
      </c>
      <c r="B38" s="3" t="s">
        <v>30</v>
      </c>
      <c r="C38" s="3">
        <v>104053.0</v>
      </c>
      <c r="D38" s="3">
        <v>4880086.0</v>
      </c>
    </row>
    <row r="39">
      <c r="A39" s="6">
        <v>45831.0</v>
      </c>
      <c r="B39" s="3" t="s">
        <v>31</v>
      </c>
      <c r="C39" s="3">
        <v>103689.0</v>
      </c>
      <c r="D39" s="3">
        <v>2.2562726E7</v>
      </c>
    </row>
    <row r="40">
      <c r="A40" s="6">
        <v>45832.0</v>
      </c>
      <c r="B40" s="3" t="s">
        <v>32</v>
      </c>
      <c r="C40" s="3">
        <v>105652.0</v>
      </c>
      <c r="D40" s="3">
        <v>4.6095968E7</v>
      </c>
    </row>
    <row r="41">
      <c r="A41" s="6">
        <v>45833.0</v>
      </c>
      <c r="B41" s="3" t="s">
        <v>33</v>
      </c>
      <c r="C41" s="3">
        <v>107057.0</v>
      </c>
      <c r="D41" s="3">
        <v>3.6431497E7</v>
      </c>
    </row>
    <row r="42">
      <c r="A42" s="6">
        <v>45834.0</v>
      </c>
      <c r="B42" s="3" t="s">
        <v>34</v>
      </c>
      <c r="C42" s="3">
        <v>107259.0</v>
      </c>
      <c r="D42" s="3">
        <v>1.7558298E7</v>
      </c>
    </row>
    <row r="43">
      <c r="A43" s="6">
        <v>45835.0</v>
      </c>
      <c r="B43" s="3">
        <v>153.0</v>
      </c>
      <c r="C43" s="3">
        <v>107051.0</v>
      </c>
      <c r="D43" s="3">
        <v>1.6378803E7</v>
      </c>
    </row>
    <row r="44">
      <c r="A44" s="6">
        <v>45838.0</v>
      </c>
      <c r="B44" s="3" t="s">
        <v>35</v>
      </c>
      <c r="C44" s="3">
        <v>107540.0</v>
      </c>
      <c r="D44" s="3">
        <v>1.2076742E7</v>
      </c>
    </row>
    <row r="45">
      <c r="A45" s="5">
        <v>45839.0</v>
      </c>
      <c r="B45" s="3">
        <v>0.0</v>
      </c>
      <c r="C45" s="3">
        <v>106158.0</v>
      </c>
      <c r="D45" s="3">
        <v>0.0</v>
      </c>
    </row>
    <row r="46">
      <c r="A46" s="5">
        <v>45840.0</v>
      </c>
      <c r="B46" s="3">
        <v>0.0</v>
      </c>
      <c r="C46" s="3">
        <v>107841.0</v>
      </c>
      <c r="D46" s="3">
        <v>0.0</v>
      </c>
    </row>
    <row r="47">
      <c r="A47" s="5">
        <v>45841.0</v>
      </c>
      <c r="B47" s="3" t="s">
        <v>36</v>
      </c>
      <c r="C47" s="3">
        <v>109502.0</v>
      </c>
      <c r="D47" s="3">
        <v>2.4583199E7</v>
      </c>
    </row>
    <row r="48">
      <c r="A48" s="5">
        <v>45845.0</v>
      </c>
      <c r="B48" s="3" t="s">
        <v>37</v>
      </c>
      <c r="C48" s="3">
        <v>108471.0</v>
      </c>
      <c r="D48" s="3">
        <v>1.7854327E7</v>
      </c>
    </row>
    <row r="49">
      <c r="A49" s="5">
        <v>45846.0</v>
      </c>
      <c r="B49" s="3" t="s">
        <v>38</v>
      </c>
      <c r="C49" s="3">
        <v>108514.0</v>
      </c>
      <c r="D49" s="3">
        <v>7248735.0</v>
      </c>
    </row>
    <row r="50">
      <c r="A50" s="5">
        <v>45847.0</v>
      </c>
      <c r="B50" s="3" t="s">
        <v>39</v>
      </c>
      <c r="C50" s="3">
        <v>110511.0</v>
      </c>
      <c r="D50" s="3">
        <v>1.3880182E7</v>
      </c>
    </row>
    <row r="51">
      <c r="A51" s="6">
        <v>45848.0</v>
      </c>
      <c r="B51" s="3" t="s">
        <v>40</v>
      </c>
      <c r="C51" s="3">
        <v>114676.0</v>
      </c>
      <c r="D51" s="3">
        <v>5.1432186E7</v>
      </c>
    </row>
    <row r="52">
      <c r="A52" s="6">
        <v>45849.0</v>
      </c>
      <c r="B52" s="3" t="s">
        <v>41</v>
      </c>
      <c r="C52" s="3">
        <v>117178.0</v>
      </c>
      <c r="D52" s="3">
        <v>1.11729223E8</v>
      </c>
    </row>
    <row r="53">
      <c r="A53" s="6">
        <v>45852.0</v>
      </c>
      <c r="B53" s="3" t="s">
        <v>42</v>
      </c>
      <c r="C53" s="3">
        <v>120636.0</v>
      </c>
      <c r="D53" s="3">
        <v>4.7615029E7</v>
      </c>
    </row>
    <row r="54">
      <c r="A54" s="6">
        <v>45853.0</v>
      </c>
      <c r="B54" s="3" t="s">
        <v>43</v>
      </c>
      <c r="C54" s="3">
        <v>117836.0</v>
      </c>
      <c r="D54" s="3">
        <v>4.9055127E7</v>
      </c>
    </row>
    <row r="55">
      <c r="A55" s="6">
        <v>45854.0</v>
      </c>
      <c r="B55" s="3" t="s">
        <v>44</v>
      </c>
      <c r="C55" s="3">
        <v>118577.0</v>
      </c>
      <c r="D55" s="3">
        <v>9.058097E7</v>
      </c>
    </row>
    <row r="56">
      <c r="A56" s="6">
        <v>45855.0</v>
      </c>
      <c r="B56" s="3" t="s">
        <v>45</v>
      </c>
      <c r="C56" s="3">
        <v>119174.0</v>
      </c>
      <c r="D56" s="3">
        <v>5.926523E7</v>
      </c>
    </row>
    <row r="57">
      <c r="A57" s="6">
        <v>45856.0</v>
      </c>
      <c r="B57" s="3" t="s">
        <v>46</v>
      </c>
      <c r="C57" s="3">
        <v>118515.0</v>
      </c>
      <c r="D57" s="3">
        <v>5.8878252E7</v>
      </c>
    </row>
    <row r="58">
      <c r="A58" s="6">
        <v>45859.0</v>
      </c>
      <c r="B58" s="3">
        <v>0.0</v>
      </c>
      <c r="C58" s="3">
        <v>117840.0</v>
      </c>
      <c r="D58" s="3">
        <v>0.0</v>
      </c>
    </row>
    <row r="59">
      <c r="A59" s="6">
        <v>45860.0</v>
      </c>
      <c r="B59" s="3">
        <v>0.0</v>
      </c>
      <c r="C59" s="3">
        <v>118756.0</v>
      </c>
      <c r="D59" s="3">
        <v>0.0</v>
      </c>
    </row>
    <row r="60">
      <c r="A60" s="6">
        <v>45861.0</v>
      </c>
      <c r="B60" s="3" t="s">
        <v>47</v>
      </c>
      <c r="C60" s="3">
        <v>118712.0</v>
      </c>
      <c r="D60" s="3">
        <v>1.6928331E7</v>
      </c>
    </row>
    <row r="61">
      <c r="A61" s="6">
        <v>45862.0</v>
      </c>
      <c r="B61" s="3" t="s">
        <v>48</v>
      </c>
      <c r="C61" s="3">
        <v>118326.0</v>
      </c>
      <c r="D61" s="3">
        <v>3845595.0</v>
      </c>
    </row>
    <row r="62">
      <c r="A62" s="6">
        <v>45863.0</v>
      </c>
      <c r="B62" s="3" t="s">
        <v>49</v>
      </c>
      <c r="C62" s="3">
        <v>116941.0</v>
      </c>
      <c r="D62" s="3">
        <v>1.0852125E7</v>
      </c>
    </row>
    <row r="63">
      <c r="A63" s="6">
        <v>45866.0</v>
      </c>
      <c r="B63" s="3" t="s">
        <v>50</v>
      </c>
      <c r="C63" s="3">
        <v>118427.0</v>
      </c>
      <c r="D63" s="3">
        <v>1.745614E7</v>
      </c>
    </row>
    <row r="64">
      <c r="A64" s="6">
        <v>45867.0</v>
      </c>
      <c r="B64" s="3" t="s">
        <v>51</v>
      </c>
      <c r="C64" s="3">
        <v>118048.0</v>
      </c>
      <c r="D64" s="3">
        <v>1.8604365E7</v>
      </c>
    </row>
    <row r="65">
      <c r="A65" s="6">
        <v>45868.0</v>
      </c>
      <c r="B65" s="3" t="s">
        <v>52</v>
      </c>
      <c r="C65" s="3">
        <v>117447.0</v>
      </c>
      <c r="D65" s="3">
        <v>4040177.0</v>
      </c>
    </row>
    <row r="66">
      <c r="A66" s="6">
        <v>45869.0</v>
      </c>
      <c r="B66" s="3" t="s">
        <v>53</v>
      </c>
      <c r="C66" s="3">
        <v>116712.0</v>
      </c>
      <c r="D66" s="3">
        <v>2170843.0</v>
      </c>
    </row>
    <row r="67">
      <c r="A67" s="5">
        <v>45870.0</v>
      </c>
      <c r="B67" s="3" t="s">
        <v>54</v>
      </c>
      <c r="C67" s="3">
        <v>113978.0</v>
      </c>
      <c r="D67" s="3">
        <v>-296343.0</v>
      </c>
    </row>
    <row r="68">
      <c r="A68" s="5">
        <v>45873.0</v>
      </c>
      <c r="B68" s="3" t="s">
        <v>55</v>
      </c>
      <c r="C68" s="3">
        <v>114920.0</v>
      </c>
      <c r="D68" s="3">
        <v>-3.3579624E7</v>
      </c>
    </row>
    <row r="69">
      <c r="A69" s="5">
        <v>45874.0</v>
      </c>
      <c r="B69" s="3" t="s">
        <v>56</v>
      </c>
      <c r="C69" s="3">
        <v>113988.0</v>
      </c>
      <c r="D69" s="3">
        <v>-8822671.0</v>
      </c>
    </row>
    <row r="70">
      <c r="A70" s="5">
        <v>45875.0</v>
      </c>
      <c r="B70" s="3" t="s">
        <v>57</v>
      </c>
      <c r="C70" s="3">
        <v>114672.0</v>
      </c>
      <c r="D70" s="3">
        <v>4804757.0</v>
      </c>
    </row>
    <row r="71">
      <c r="A71" s="5">
        <v>45876.0</v>
      </c>
      <c r="B71" s="3" t="s">
        <v>58</v>
      </c>
      <c r="C71" s="3">
        <v>116422.0</v>
      </c>
      <c r="D71" s="3">
        <v>1.8231685E7</v>
      </c>
    </row>
    <row r="72">
      <c r="A72" s="5">
        <v>45877.0</v>
      </c>
      <c r="B72" s="3">
        <v>360.0</v>
      </c>
      <c r="C72" s="3">
        <v>116712.0</v>
      </c>
      <c r="D72" s="3">
        <v>4.201632E7</v>
      </c>
    </row>
    <row r="73">
      <c r="A73" s="6">
        <v>45880.0</v>
      </c>
      <c r="B73" s="3" t="s">
        <v>59</v>
      </c>
      <c r="C73" s="3">
        <v>119673.0</v>
      </c>
      <c r="D73" s="3">
        <v>1.6538809E7</v>
      </c>
    </row>
    <row r="74">
      <c r="A74" s="6">
        <v>45881.0</v>
      </c>
      <c r="B74" s="3" t="s">
        <v>60</v>
      </c>
      <c r="C74" s="3">
        <v>119569.0</v>
      </c>
      <c r="D74" s="3">
        <v>1.3319987E7</v>
      </c>
    </row>
    <row r="75">
      <c r="A75" s="6">
        <v>45882.0</v>
      </c>
      <c r="B75" s="3">
        <v>0.0</v>
      </c>
      <c r="C75" s="3">
        <v>121970.0</v>
      </c>
      <c r="D75" s="3">
        <v>0.0</v>
      </c>
    </row>
    <row r="76">
      <c r="A76" s="6">
        <v>45883.0</v>
      </c>
      <c r="B76" s="3" t="s">
        <v>61</v>
      </c>
      <c r="C76" s="3">
        <v>119900.0</v>
      </c>
      <c r="D76" s="3">
        <v>6.279163E7</v>
      </c>
    </row>
    <row r="77">
      <c r="A77" s="6">
        <v>45884.0</v>
      </c>
      <c r="B77" s="3" t="s">
        <v>62</v>
      </c>
      <c r="C77" s="3">
        <v>117715.0</v>
      </c>
      <c r="D77" s="3">
        <v>1.3466596E7</v>
      </c>
    </row>
    <row r="78">
      <c r="A78" s="7">
        <v>45887.0</v>
      </c>
      <c r="B78" s="8" t="s">
        <v>63</v>
      </c>
      <c r="C78" s="9">
        <v>116100.0</v>
      </c>
      <c r="D78" s="9">
        <v>-7976070.0</v>
      </c>
    </row>
    <row r="79">
      <c r="A79" s="7">
        <v>45888.0</v>
      </c>
      <c r="B79" s="9">
        <v>0.0</v>
      </c>
      <c r="C79" s="9">
        <v>114055.0</v>
      </c>
      <c r="D79" s="9">
        <v>0.0</v>
      </c>
    </row>
    <row r="80">
      <c r="A80" s="7">
        <v>45889.0</v>
      </c>
      <c r="B80" s="9">
        <v>-220.0</v>
      </c>
      <c r="C80" s="9">
        <v>113700.0</v>
      </c>
      <c r="D80" s="9">
        <v>-2.5014E7</v>
      </c>
    </row>
    <row r="81">
      <c r="A81" s="7">
        <v>45890.0</v>
      </c>
      <c r="B81" s="9">
        <v>-127.5</v>
      </c>
      <c r="C81" s="9">
        <v>113050.0</v>
      </c>
      <c r="D81" s="9">
        <v>-1.4413875E7</v>
      </c>
    </row>
    <row r="82">
      <c r="A82" s="7">
        <v>45891.0</v>
      </c>
      <c r="B82" s="9">
        <v>-198.8</v>
      </c>
      <c r="C82" s="9">
        <v>115310.0</v>
      </c>
      <c r="D82" s="9">
        <v>-2.2923628E7</v>
      </c>
    </row>
    <row r="83">
      <c r="A83" s="7">
        <v>45894.0</v>
      </c>
      <c r="B83" s="9">
        <v>63.4</v>
      </c>
      <c r="C83" s="9">
        <v>110960.0</v>
      </c>
      <c r="D83" s="9">
        <v>7034864.0</v>
      </c>
    </row>
    <row r="84">
      <c r="A84" s="7">
        <v>45895.0</v>
      </c>
      <c r="B84" s="9">
        <v>45.3</v>
      </c>
      <c r="C84" s="9">
        <v>110865.0</v>
      </c>
      <c r="D84" s="9">
        <v>5022184.0</v>
      </c>
    </row>
    <row r="85">
      <c r="A85" s="7">
        <v>45896.0</v>
      </c>
      <c r="B85" s="9">
        <v>50.9</v>
      </c>
      <c r="C85" s="9">
        <v>111365.0</v>
      </c>
      <c r="D85" s="9">
        <v>5668478.0</v>
      </c>
    </row>
    <row r="86">
      <c r="A86" s="7">
        <v>45897.0</v>
      </c>
      <c r="B86" s="9">
        <v>63.7</v>
      </c>
      <c r="C86" s="9">
        <v>112250.0</v>
      </c>
      <c r="D86" s="9">
        <v>7150325.0</v>
      </c>
    </row>
    <row r="87">
      <c r="A87" s="7">
        <v>45898.0</v>
      </c>
      <c r="B87" s="9">
        <v>24.6</v>
      </c>
      <c r="C87" s="9">
        <v>109450.0</v>
      </c>
      <c r="D87" s="9">
        <v>2692470.0</v>
      </c>
    </row>
    <row r="88">
      <c r="A88" s="7">
        <v>45902.0</v>
      </c>
      <c r="B88" s="9">
        <v>72.9</v>
      </c>
      <c r="C88" s="9">
        <v>110426.0</v>
      </c>
      <c r="D88" s="9">
        <v>8050055.0</v>
      </c>
    </row>
    <row r="89">
      <c r="A89" s="7">
        <v>45903.0</v>
      </c>
      <c r="B89" s="9">
        <v>289.8</v>
      </c>
      <c r="C89" s="9">
        <v>111562.0</v>
      </c>
      <c r="D89" s="9">
        <v>3.2330667E7</v>
      </c>
    </row>
    <row r="90">
      <c r="A90" s="7">
        <v>45904.0</v>
      </c>
      <c r="B90" s="9">
        <v>134.8</v>
      </c>
      <c r="C90" s="9">
        <v>110694.0</v>
      </c>
      <c r="D90" s="9">
        <v>1.4921551E7</v>
      </c>
    </row>
    <row r="91">
      <c r="A91" s="7">
        <v>45905.0</v>
      </c>
      <c r="B91" s="9">
        <v>-63.2</v>
      </c>
      <c r="C91" s="9">
        <v>111370.0</v>
      </c>
      <c r="D91" s="9">
        <v>-7038584.0</v>
      </c>
    </row>
    <row r="92">
      <c r="A92" s="7">
        <v>45908.0</v>
      </c>
      <c r="B92" s="9">
        <v>25.5</v>
      </c>
      <c r="C92" s="9">
        <v>111817.0</v>
      </c>
      <c r="D92" s="9">
        <v>2851333.0</v>
      </c>
    </row>
    <row r="93">
      <c r="A93" s="7">
        <v>45909.0</v>
      </c>
      <c r="B93" s="9">
        <v>169.3</v>
      </c>
      <c r="C93" s="9">
        <v>111817.0</v>
      </c>
      <c r="D93" s="9">
        <v>1.8930618E7</v>
      </c>
    </row>
    <row r="94">
      <c r="A94" s="7">
        <v>45910.0</v>
      </c>
      <c r="B94" s="9">
        <v>211.2</v>
      </c>
      <c r="C94" s="9">
        <v>113017.0</v>
      </c>
      <c r="D94" s="9">
        <v>2.386919E7</v>
      </c>
    </row>
    <row r="95">
      <c r="A95" s="7">
        <v>45911.0</v>
      </c>
      <c r="B95" s="9">
        <v>366.2</v>
      </c>
      <c r="C95" s="9">
        <v>114741.0</v>
      </c>
      <c r="D95" s="9">
        <v>4.2018154E7</v>
      </c>
    </row>
    <row r="96">
      <c r="A96" s="7">
        <v>45912.0</v>
      </c>
      <c r="B96" s="9">
        <v>264.7</v>
      </c>
      <c r="C96" s="9">
        <v>115750.0</v>
      </c>
      <c r="D96" s="9">
        <v>3.0639025E7</v>
      </c>
    </row>
    <row r="97">
      <c r="A97" s="7">
        <v>45915.0</v>
      </c>
      <c r="B97" s="9">
        <v>261.8</v>
      </c>
      <c r="C97" s="9">
        <v>115466.0</v>
      </c>
      <c r="D97" s="9">
        <v>3.0228998E7</v>
      </c>
    </row>
    <row r="98">
      <c r="A98" s="7">
        <v>45916.0</v>
      </c>
      <c r="B98" s="9">
        <v>209.2</v>
      </c>
      <c r="C98" s="9">
        <v>116090.0</v>
      </c>
      <c r="D98" s="9">
        <v>2.4285628E7</v>
      </c>
    </row>
    <row r="99">
      <c r="A99" s="7">
        <v>45917.0</v>
      </c>
      <c r="B99" s="9">
        <v>149.7</v>
      </c>
      <c r="C99" s="9">
        <v>116100.0</v>
      </c>
      <c r="D99" s="9">
        <v>1.739017E7</v>
      </c>
    </row>
    <row r="100">
      <c r="A100" s="7">
        <v>45918.0</v>
      </c>
      <c r="B100" s="9">
        <v>0.0</v>
      </c>
      <c r="C100" s="9">
        <v>117000.0</v>
      </c>
      <c r="D100" s="9">
        <v>0.0</v>
      </c>
    </row>
    <row r="101">
      <c r="A101" s="7">
        <v>45919.0</v>
      </c>
      <c r="B101" s="8">
        <v>246.1</v>
      </c>
      <c r="C101" s="9">
        <v>116000.0</v>
      </c>
      <c r="D101" s="9">
        <v>2.81526E7</v>
      </c>
    </row>
    <row r="102">
      <c r="A102" s="7">
        <v>45922.0</v>
      </c>
      <c r="B102" s="10">
        <v>0.0</v>
      </c>
      <c r="C102" s="9">
        <v>113133.0</v>
      </c>
      <c r="D102" s="9">
        <v>0.0</v>
      </c>
    </row>
    <row r="103">
      <c r="A103" s="7">
        <v>45923.0</v>
      </c>
      <c r="B103" s="11">
        <v>3.0</v>
      </c>
      <c r="C103" s="9">
        <v>112200.0</v>
      </c>
      <c r="D103" s="9">
        <v>280500.0</v>
      </c>
    </row>
    <row r="104">
      <c r="A104" s="7">
        <v>45924.0</v>
      </c>
      <c r="B104" s="12">
        <v>128.9</v>
      </c>
      <c r="C104" s="9">
        <v>112693.0</v>
      </c>
      <c r="D104" s="9">
        <v>1.4526127E7</v>
      </c>
    </row>
    <row r="105">
      <c r="A105" s="7">
        <v>45925.0</v>
      </c>
      <c r="B105" s="12">
        <v>79.7</v>
      </c>
      <c r="C105" s="9">
        <v>110325.0</v>
      </c>
      <c r="D105" s="9">
        <v>8792902.0</v>
      </c>
    </row>
    <row r="106">
      <c r="A106" s="7">
        <v>45926.0</v>
      </c>
      <c r="B106" s="13">
        <v>-37.3</v>
      </c>
      <c r="C106" s="9">
        <v>109468.0</v>
      </c>
      <c r="D106" s="9">
        <v>-4083156.0</v>
      </c>
    </row>
    <row r="107">
      <c r="A107" s="7">
        <v>45929.0</v>
      </c>
      <c r="B107" s="13">
        <v>-46.6</v>
      </c>
      <c r="C107" s="9">
        <v>113071.0</v>
      </c>
      <c r="D107" s="9">
        <v>-5268108.0</v>
      </c>
    </row>
    <row r="108">
      <c r="A108" s="7">
        <v>45930.0</v>
      </c>
      <c r="B108" s="13">
        <v>199.4</v>
      </c>
      <c r="C108" s="9">
        <v>113915.0</v>
      </c>
      <c r="D108" s="9">
        <v>2.2714111E7</v>
      </c>
    </row>
    <row r="109">
      <c r="A109" s="7">
        <v>45931.0</v>
      </c>
      <c r="B109" s="13">
        <v>405.5</v>
      </c>
      <c r="C109" s="9">
        <v>116270.0</v>
      </c>
      <c r="D109" s="9">
        <v>4.7139785E7</v>
      </c>
    </row>
    <row r="110">
      <c r="A110" s="7">
        <v>45932.0</v>
      </c>
      <c r="B110" s="13">
        <v>466.5</v>
      </c>
      <c r="C110" s="9">
        <v>119570.0</v>
      </c>
      <c r="D110" s="9">
        <v>5.5740405E7</v>
      </c>
    </row>
    <row r="111">
      <c r="A111" s="7">
        <v>45933.0</v>
      </c>
      <c r="B111" s="13">
        <v>791.6</v>
      </c>
      <c r="C111" s="9">
        <v>121440.0</v>
      </c>
      <c r="D111" s="9">
        <v>9.6131904E7</v>
      </c>
    </row>
    <row r="112">
      <c r="A112" s="7">
        <v>45936.0</v>
      </c>
      <c r="B112" s="13">
        <v>970.0</v>
      </c>
      <c r="C112" s="9">
        <v>124321.0</v>
      </c>
      <c r="D112" s="14">
        <f t="shared" ref="D112:D143" si="1">B112*C112</f>
        <v>120591370</v>
      </c>
    </row>
    <row r="113">
      <c r="A113" s="7">
        <v>45937.0</v>
      </c>
      <c r="B113" s="13">
        <v>899.4</v>
      </c>
      <c r="C113" s="9">
        <v>122880.0</v>
      </c>
      <c r="D113" s="14">
        <f t="shared" si="1"/>
        <v>110518272</v>
      </c>
    </row>
    <row r="114">
      <c r="A114" s="7">
        <v>45938.0</v>
      </c>
      <c r="B114" s="13">
        <v>426.2</v>
      </c>
      <c r="C114" s="9">
        <v>122425.0</v>
      </c>
      <c r="D114" s="14">
        <f t="shared" si="1"/>
        <v>52177535</v>
      </c>
    </row>
    <row r="115">
      <c r="A115" s="7">
        <v>45939.0</v>
      </c>
      <c r="B115" s="13">
        <v>255.5</v>
      </c>
      <c r="C115" s="9">
        <v>122032.0</v>
      </c>
      <c r="D115" s="14">
        <f t="shared" si="1"/>
        <v>31179176</v>
      </c>
    </row>
    <row r="116">
      <c r="A116" s="7">
        <v>45940.0</v>
      </c>
      <c r="B116" s="13">
        <v>74.2</v>
      </c>
      <c r="C116" s="9">
        <v>114577.0</v>
      </c>
      <c r="D116" s="14">
        <f t="shared" si="1"/>
        <v>8501613.4</v>
      </c>
    </row>
    <row r="117">
      <c r="A117" s="7">
        <v>45943.0</v>
      </c>
      <c r="B117" s="13">
        <v>60.4</v>
      </c>
      <c r="C117" s="9">
        <v>114879.0</v>
      </c>
      <c r="D117" s="14">
        <f t="shared" si="1"/>
        <v>6938691.6</v>
      </c>
    </row>
    <row r="118">
      <c r="A118" s="7">
        <v>45944.0</v>
      </c>
      <c r="B118" s="13">
        <v>-30.8</v>
      </c>
      <c r="C118" s="9">
        <v>113314.0</v>
      </c>
      <c r="D118" s="14">
        <f t="shared" si="1"/>
        <v>-3490071.2</v>
      </c>
    </row>
    <row r="119">
      <c r="A119" s="7">
        <v>45945.0</v>
      </c>
      <c r="B119" s="13">
        <v>-10.1</v>
      </c>
      <c r="C119" s="9">
        <v>111457.0</v>
      </c>
      <c r="D119" s="14">
        <f t="shared" si="1"/>
        <v>-1125715.7</v>
      </c>
    </row>
    <row r="120">
      <c r="A120" s="7">
        <v>45946.0</v>
      </c>
      <c r="B120" s="13">
        <v>-29.5</v>
      </c>
      <c r="C120" s="9">
        <v>109146.0</v>
      </c>
      <c r="D120" s="14">
        <f t="shared" si="1"/>
        <v>-3219807</v>
      </c>
    </row>
    <row r="121">
      <c r="A121" s="7">
        <v>45947.0</v>
      </c>
      <c r="B121" s="13">
        <v>-268.6</v>
      </c>
      <c r="C121" s="9">
        <v>106349.0</v>
      </c>
      <c r="D121" s="14">
        <f t="shared" si="1"/>
        <v>-28565341.4</v>
      </c>
    </row>
    <row r="122">
      <c r="A122" s="7">
        <v>45950.0</v>
      </c>
      <c r="B122" s="13">
        <v>-100.7</v>
      </c>
      <c r="C122" s="9">
        <v>109832.0</v>
      </c>
      <c r="D122" s="14">
        <f t="shared" si="1"/>
        <v>-11060082.4</v>
      </c>
    </row>
    <row r="123">
      <c r="A123" s="7">
        <v>45951.0</v>
      </c>
      <c r="B123" s="13">
        <v>210.9</v>
      </c>
      <c r="C123" s="9">
        <v>109864.0</v>
      </c>
      <c r="D123" s="14">
        <f t="shared" si="1"/>
        <v>23170317.6</v>
      </c>
    </row>
    <row r="124">
      <c r="A124" s="7">
        <v>45952.0</v>
      </c>
      <c r="B124" s="13">
        <v>73.6</v>
      </c>
      <c r="C124" s="9">
        <v>107684.0</v>
      </c>
      <c r="D124" s="14">
        <f t="shared" si="1"/>
        <v>7925542.4</v>
      </c>
    </row>
    <row r="125">
      <c r="A125" s="7">
        <v>45953.0</v>
      </c>
      <c r="B125" s="13">
        <v>107.8</v>
      </c>
      <c r="C125" s="9">
        <v>109576.0</v>
      </c>
      <c r="D125" s="14">
        <f t="shared" si="1"/>
        <v>11812292.8</v>
      </c>
    </row>
    <row r="126">
      <c r="A126" s="7">
        <v>45954.0</v>
      </c>
      <c r="B126" s="13">
        <v>32.7</v>
      </c>
      <c r="C126" s="9">
        <v>110900.0</v>
      </c>
      <c r="D126" s="14">
        <f t="shared" si="1"/>
        <v>3626430</v>
      </c>
    </row>
    <row r="127">
      <c r="A127" s="7">
        <v>45957.0</v>
      </c>
      <c r="B127" s="13">
        <v>65.3</v>
      </c>
      <c r="C127" s="9">
        <v>114700.0</v>
      </c>
      <c r="D127" s="14">
        <f t="shared" si="1"/>
        <v>7489910</v>
      </c>
    </row>
    <row r="128">
      <c r="A128" s="7">
        <v>45958.0</v>
      </c>
      <c r="B128" s="13">
        <v>59.6</v>
      </c>
      <c r="C128" s="9">
        <v>113676.0</v>
      </c>
      <c r="D128" s="14">
        <f t="shared" si="1"/>
        <v>6775089.6</v>
      </c>
    </row>
    <row r="129">
      <c r="A129" s="7">
        <v>45959.0</v>
      </c>
      <c r="B129" s="13">
        <v>-88.1</v>
      </c>
      <c r="C129" s="9">
        <v>111309.0</v>
      </c>
      <c r="D129" s="14">
        <f t="shared" si="1"/>
        <v>-9806322.9</v>
      </c>
    </row>
    <row r="130">
      <c r="A130" s="7">
        <v>45960.0</v>
      </c>
      <c r="B130" s="13">
        <v>-290.9</v>
      </c>
      <c r="C130" s="9">
        <v>108676.0</v>
      </c>
      <c r="D130" s="14">
        <f t="shared" si="1"/>
        <v>-31613848.4</v>
      </c>
    </row>
    <row r="131">
      <c r="A131" s="7">
        <v>45961.0</v>
      </c>
      <c r="B131" s="13">
        <v>-149.3</v>
      </c>
      <c r="C131" s="9">
        <v>109672.0</v>
      </c>
      <c r="D131" s="14">
        <f t="shared" si="1"/>
        <v>-16374029.6</v>
      </c>
    </row>
    <row r="132">
      <c r="A132" s="7">
        <v>45964.0</v>
      </c>
      <c r="B132" s="13">
        <v>-186.5</v>
      </c>
      <c r="C132" s="9">
        <v>107518.0</v>
      </c>
      <c r="D132" s="14">
        <f t="shared" si="1"/>
        <v>-20052107</v>
      </c>
    </row>
    <row r="133">
      <c r="A133" s="7">
        <v>45965.0</v>
      </c>
      <c r="B133" s="13">
        <v>0.0</v>
      </c>
      <c r="C133" s="9">
        <v>102537.0</v>
      </c>
      <c r="D133" s="14">
        <f t="shared" si="1"/>
        <v>0</v>
      </c>
    </row>
    <row r="134">
      <c r="A134" s="7">
        <v>45966.0</v>
      </c>
      <c r="B134" s="13">
        <v>-375.5</v>
      </c>
      <c r="C134" s="9">
        <v>102414.0</v>
      </c>
      <c r="D134" s="14">
        <f t="shared" si="1"/>
        <v>-38456457</v>
      </c>
    </row>
    <row r="135">
      <c r="A135" s="7">
        <v>45967.0</v>
      </c>
      <c r="B135" s="15">
        <v>112.4</v>
      </c>
      <c r="C135" s="9">
        <v>101918.0</v>
      </c>
      <c r="D135" s="14">
        <f t="shared" si="1"/>
        <v>11455583.2</v>
      </c>
    </row>
    <row r="136">
      <c r="A136" s="7">
        <v>45968.0</v>
      </c>
      <c r="B136" s="15">
        <v>-131.4</v>
      </c>
      <c r="C136" s="9">
        <v>102192.0</v>
      </c>
      <c r="D136" s="14">
        <f t="shared" si="1"/>
        <v>-13428028.8</v>
      </c>
    </row>
    <row r="137">
      <c r="A137" s="7">
        <v>45971.0</v>
      </c>
      <c r="B137" s="15">
        <v>0.0</v>
      </c>
      <c r="C137" s="9">
        <v>105612.0</v>
      </c>
      <c r="D137" s="14">
        <f t="shared" si="1"/>
        <v>0</v>
      </c>
    </row>
    <row r="138">
      <c r="A138" s="7">
        <v>45972.0</v>
      </c>
      <c r="B138" s="15">
        <v>224.2</v>
      </c>
      <c r="C138" s="9">
        <v>104293.0</v>
      </c>
      <c r="D138" s="14">
        <f t="shared" si="1"/>
        <v>23382490.6</v>
      </c>
    </row>
    <row r="139">
      <c r="A139" s="7">
        <v>45973.0</v>
      </c>
      <c r="B139" s="15">
        <v>-36.9</v>
      </c>
      <c r="C139" s="9">
        <v>102537.0</v>
      </c>
      <c r="D139" s="14">
        <f t="shared" si="1"/>
        <v>-3783615.3</v>
      </c>
    </row>
    <row r="140">
      <c r="A140" s="7">
        <v>45974.0</v>
      </c>
      <c r="B140" s="15">
        <v>-256.6</v>
      </c>
      <c r="C140" s="9">
        <v>100546.0</v>
      </c>
      <c r="D140" s="14">
        <f t="shared" si="1"/>
        <v>-25800103.6</v>
      </c>
    </row>
    <row r="141">
      <c r="A141" s="7">
        <v>45975.0</v>
      </c>
      <c r="B141" s="15">
        <v>-463.1</v>
      </c>
      <c r="C141" s="9">
        <v>96121.0</v>
      </c>
      <c r="D141" s="14">
        <f t="shared" si="1"/>
        <v>-44513635.1</v>
      </c>
    </row>
    <row r="142">
      <c r="A142" s="7">
        <v>45978.0</v>
      </c>
      <c r="B142" s="13">
        <v>-145.6</v>
      </c>
      <c r="C142" s="9">
        <v>93144.0</v>
      </c>
      <c r="D142" s="14">
        <f t="shared" si="1"/>
        <v>-13561766.4</v>
      </c>
    </row>
    <row r="143">
      <c r="A143" s="7">
        <v>45979.0</v>
      </c>
      <c r="B143" s="13">
        <v>-523.2</v>
      </c>
      <c r="C143" s="9">
        <v>91909.0</v>
      </c>
      <c r="D143" s="14">
        <f t="shared" si="1"/>
        <v>-48086788.8</v>
      </c>
    </row>
    <row r="144">
      <c r="A144" s="7"/>
      <c r="B144" s="13">
        <v>20486.4</v>
      </c>
      <c r="D144" s="14">
        <f>SUM(D2:D143)</f>
        <v>2333058528</v>
      </c>
    </row>
    <row r="147">
      <c r="A147" s="16"/>
      <c r="B147" s="17"/>
      <c r="C147" s="18"/>
      <c r="D147" s="18"/>
      <c r="E147" s="19"/>
      <c r="F147" s="19"/>
      <c r="G147" s="19"/>
      <c r="H147" s="19"/>
    </row>
    <row r="148">
      <c r="A148" s="20"/>
      <c r="B148" s="17"/>
      <c r="C148" s="21"/>
      <c r="D148" s="22"/>
      <c r="E148" s="17"/>
      <c r="H148" s="18"/>
      <c r="K148" s="16"/>
      <c r="L148" s="20"/>
      <c r="M148" s="20"/>
    </row>
    <row r="149">
      <c r="B149" s="17"/>
      <c r="C149" s="21"/>
      <c r="D149" s="22"/>
      <c r="E149" s="18"/>
      <c r="F149" s="23"/>
      <c r="G149" s="23"/>
      <c r="H149" s="24"/>
      <c r="K149" s="20"/>
      <c r="L149" s="25"/>
      <c r="M149" s="26"/>
    </row>
    <row r="150">
      <c r="A150" s="20"/>
      <c r="B150" s="17"/>
      <c r="C150" s="21"/>
      <c r="D150" s="22"/>
      <c r="E150" s="19"/>
      <c r="F150" s="27"/>
      <c r="G150" s="27"/>
      <c r="H150" s="19"/>
    </row>
    <row r="151">
      <c r="B151" s="17"/>
      <c r="C151" s="17"/>
      <c r="D151" s="17"/>
      <c r="E151" s="18"/>
      <c r="F151" s="28">
        <f>523.2-372.8</f>
        <v>150.4</v>
      </c>
      <c r="G151" s="23"/>
      <c r="H151" s="24"/>
      <c r="K151" s="20"/>
      <c r="L151" s="29"/>
      <c r="M151" s="26"/>
    </row>
    <row r="152">
      <c r="A152" s="20"/>
      <c r="B152" s="17"/>
      <c r="C152" s="21"/>
      <c r="D152" s="22"/>
      <c r="E152" s="19"/>
      <c r="F152" s="27"/>
      <c r="G152" s="27"/>
      <c r="H152" s="19"/>
    </row>
    <row r="153">
      <c r="B153" s="17"/>
      <c r="C153" s="21"/>
      <c r="D153" s="22"/>
      <c r="E153" s="18"/>
      <c r="F153" s="23"/>
      <c r="G153" s="23"/>
      <c r="H153" s="24"/>
      <c r="K153" s="20"/>
      <c r="L153" s="25"/>
      <c r="M153" s="26"/>
    </row>
    <row r="154">
      <c r="B154" s="17"/>
      <c r="C154" s="21"/>
      <c r="D154" s="22"/>
      <c r="E154" s="19"/>
      <c r="F154" s="19"/>
      <c r="G154" s="19"/>
      <c r="H154" s="19"/>
    </row>
    <row r="155">
      <c r="B155" s="17"/>
      <c r="C155" s="21"/>
      <c r="D155" s="22"/>
    </row>
    <row r="156">
      <c r="B156" s="17"/>
      <c r="C156" s="21"/>
      <c r="D156" s="22"/>
    </row>
    <row r="157">
      <c r="B157" s="17"/>
      <c r="C157" s="21"/>
      <c r="D157" s="22"/>
    </row>
    <row r="158">
      <c r="B158" s="30" t="s">
        <v>64</v>
      </c>
      <c r="C158" s="31" t="s">
        <v>65</v>
      </c>
      <c r="D158" s="32" t="s">
        <v>66</v>
      </c>
    </row>
    <row r="159">
      <c r="B159" s="33" t="s">
        <v>67</v>
      </c>
      <c r="C159" s="34">
        <f>B144</f>
        <v>20486.4</v>
      </c>
      <c r="D159" s="35">
        <f>D144/B144</f>
        <v>113883.2849</v>
      </c>
    </row>
    <row r="160">
      <c r="B160" s="36"/>
      <c r="C160" s="37"/>
      <c r="D160" s="38"/>
    </row>
    <row r="161">
      <c r="B161" s="33" t="s">
        <v>68</v>
      </c>
      <c r="C161" s="39">
        <f>SUM(B139:B143)</f>
        <v>-1425.4</v>
      </c>
      <c r="D161" s="35">
        <f>SUM(D139:D143)/C161</f>
        <v>95233.55493</v>
      </c>
    </row>
    <row r="162">
      <c r="B162" s="36"/>
      <c r="C162" s="37"/>
      <c r="D162" s="38"/>
    </row>
    <row r="163">
      <c r="B163" s="33" t="s">
        <v>69</v>
      </c>
      <c r="C163" s="34">
        <f>SUM(B124:B143)</f>
        <v>-1971.5</v>
      </c>
      <c r="D163" s="35">
        <f>SUM(D124:D143)/C163</f>
        <v>97899.75364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25"/>
    <col customWidth="1" min="6" max="6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45778.0</v>
      </c>
      <c r="B2" s="3">
        <v>0.0</v>
      </c>
      <c r="C2" s="3">
        <v>1834.0</v>
      </c>
      <c r="D2" s="3">
        <v>0.0</v>
      </c>
    </row>
    <row r="3">
      <c r="A3" s="2">
        <v>45779.0</v>
      </c>
      <c r="B3" s="3" t="s">
        <v>70</v>
      </c>
      <c r="C3" s="3">
        <v>1842.0</v>
      </c>
      <c r="D3" s="3">
        <v>37024.0</v>
      </c>
    </row>
    <row r="4">
      <c r="A4" s="2">
        <v>45782.0</v>
      </c>
      <c r="B4" s="3">
        <v>0.0</v>
      </c>
      <c r="C4" s="3">
        <v>1811.0</v>
      </c>
      <c r="D4" s="3">
        <v>0.0</v>
      </c>
    </row>
    <row r="5">
      <c r="A5" s="2">
        <v>45783.0</v>
      </c>
      <c r="B5" s="3">
        <v>0.0</v>
      </c>
      <c r="C5" s="3">
        <v>1796.0</v>
      </c>
      <c r="D5" s="3">
        <v>0.0</v>
      </c>
    </row>
    <row r="6">
      <c r="A6" s="2">
        <v>45784.0</v>
      </c>
      <c r="B6" s="3" t="s">
        <v>71</v>
      </c>
      <c r="C6" s="3">
        <v>1817.0</v>
      </c>
      <c r="D6" s="3">
        <v>-39610.0</v>
      </c>
    </row>
    <row r="7">
      <c r="A7" s="2">
        <v>45785.0</v>
      </c>
      <c r="B7" s="3">
        <v>0.0</v>
      </c>
      <c r="C7" s="3">
        <v>2077.0</v>
      </c>
      <c r="D7" s="3">
        <v>0.0</v>
      </c>
    </row>
    <row r="8">
      <c r="A8" s="2">
        <v>45786.0</v>
      </c>
      <c r="B8" s="3" t="s">
        <v>72</v>
      </c>
      <c r="C8" s="3">
        <v>2344.0</v>
      </c>
      <c r="D8" s="3">
        <v>41254.0</v>
      </c>
    </row>
    <row r="9">
      <c r="A9" s="4">
        <v>45789.0</v>
      </c>
      <c r="B9" s="3">
        <v>0.0</v>
      </c>
      <c r="C9" s="3">
        <v>2508.0</v>
      </c>
      <c r="D9" s="3">
        <v>0.0</v>
      </c>
    </row>
    <row r="10">
      <c r="A10" s="4">
        <v>45790.0</v>
      </c>
      <c r="B10" s="3">
        <v>0.0</v>
      </c>
      <c r="C10" s="3">
        <v>2612.0</v>
      </c>
      <c r="D10" s="3">
        <v>0.0</v>
      </c>
    </row>
    <row r="11">
      <c r="A11" s="4">
        <v>45791.0</v>
      </c>
      <c r="B11" s="3" t="s">
        <v>73</v>
      </c>
      <c r="C11" s="3">
        <v>2627.0</v>
      </c>
      <c r="D11" s="3">
        <v>151315.0</v>
      </c>
    </row>
    <row r="12">
      <c r="A12" s="4">
        <v>45792.0</v>
      </c>
      <c r="B12" s="3" t="s">
        <v>74</v>
      </c>
      <c r="C12" s="3">
        <v>2558.0</v>
      </c>
      <c r="D12" s="3">
        <v>21487.0</v>
      </c>
    </row>
    <row r="13">
      <c r="A13" s="4">
        <v>45793.0</v>
      </c>
      <c r="B13" s="3">
        <v>0.0</v>
      </c>
      <c r="C13" s="3">
        <v>2570.0</v>
      </c>
      <c r="D13" s="3">
        <v>0.0</v>
      </c>
    </row>
    <row r="14">
      <c r="A14" s="4">
        <v>45796.0</v>
      </c>
      <c r="B14" s="3" t="s">
        <v>75</v>
      </c>
      <c r="C14" s="3">
        <v>2473.0</v>
      </c>
      <c r="D14" s="3">
        <v>33880.0</v>
      </c>
    </row>
    <row r="15">
      <c r="A15" s="4">
        <v>45797.0</v>
      </c>
      <c r="B15" s="3">
        <v>45.0</v>
      </c>
      <c r="C15" s="3">
        <v>2520.0</v>
      </c>
      <c r="D15" s="3">
        <v>113400.0</v>
      </c>
    </row>
    <row r="16">
      <c r="A16" s="4">
        <v>45798.0</v>
      </c>
      <c r="B16" s="3" t="s">
        <v>76</v>
      </c>
      <c r="C16" s="3">
        <v>2540.0</v>
      </c>
      <c r="D16" s="3">
        <v>63246.0</v>
      </c>
    </row>
    <row r="17">
      <c r="A17" s="4">
        <v>45799.0</v>
      </c>
      <c r="B17" s="3">
        <v>0.0</v>
      </c>
      <c r="C17" s="3">
        <v>2634.0</v>
      </c>
      <c r="D17" s="3">
        <v>0.0</v>
      </c>
    </row>
    <row r="18">
      <c r="A18" s="4">
        <v>45800.0</v>
      </c>
      <c r="B18" s="3" t="s">
        <v>77</v>
      </c>
      <c r="C18" s="3">
        <v>2581.0</v>
      </c>
      <c r="D18" s="3">
        <v>136276.0</v>
      </c>
    </row>
    <row r="19">
      <c r="A19" s="4">
        <v>45803.0</v>
      </c>
      <c r="B19" s="3">
        <v>0.0</v>
      </c>
      <c r="C19" s="3">
        <v>2564.0</v>
      </c>
      <c r="D19" s="3">
        <v>0.0</v>
      </c>
    </row>
    <row r="20">
      <c r="A20" s="4">
        <v>45804.0</v>
      </c>
      <c r="B20" s="3" t="s">
        <v>48</v>
      </c>
      <c r="C20" s="3">
        <v>2627.0</v>
      </c>
      <c r="D20" s="3">
        <v>85377.0</v>
      </c>
    </row>
    <row r="21">
      <c r="A21" s="4">
        <v>45805.0</v>
      </c>
      <c r="B21" s="3" t="s">
        <v>78</v>
      </c>
      <c r="C21" s="3">
        <v>2657.0</v>
      </c>
      <c r="D21" s="3">
        <v>140023.0</v>
      </c>
    </row>
    <row r="22">
      <c r="A22" s="4">
        <v>45806.0</v>
      </c>
      <c r="B22" s="3" t="s">
        <v>79</v>
      </c>
      <c r="C22" s="3">
        <v>2676.0</v>
      </c>
      <c r="D22" s="3">
        <v>134870.0</v>
      </c>
    </row>
    <row r="23">
      <c r="A23" s="4">
        <v>45807.0</v>
      </c>
      <c r="B23" s="3" t="s">
        <v>80</v>
      </c>
      <c r="C23" s="3">
        <v>2559.0</v>
      </c>
      <c r="D23" s="3">
        <v>179641.8</v>
      </c>
    </row>
    <row r="24">
      <c r="A24" s="5">
        <v>45810.0</v>
      </c>
      <c r="B24" s="3" t="s">
        <v>81</v>
      </c>
      <c r="C24" s="3">
        <v>2564.0</v>
      </c>
      <c r="D24" s="3">
        <v>124097.6</v>
      </c>
    </row>
    <row r="25">
      <c r="A25" s="5">
        <v>45811.0</v>
      </c>
      <c r="B25" s="3" t="s">
        <v>82</v>
      </c>
      <c r="C25" s="3">
        <v>2610.0</v>
      </c>
      <c r="D25" s="3">
        <v>201231.0</v>
      </c>
    </row>
    <row r="26">
      <c r="A26" s="5">
        <v>45812.0</v>
      </c>
      <c r="B26" s="3" t="s">
        <v>83</v>
      </c>
      <c r="C26" s="3">
        <v>2624.0</v>
      </c>
      <c r="D26" s="3">
        <v>192076.8</v>
      </c>
    </row>
    <row r="27">
      <c r="A27" s="5">
        <v>45813.0</v>
      </c>
      <c r="B27" s="3" t="s">
        <v>84</v>
      </c>
      <c r="C27" s="3">
        <v>2480.0</v>
      </c>
      <c r="D27" s="3">
        <v>86056.0</v>
      </c>
    </row>
    <row r="28">
      <c r="A28" s="5">
        <v>45814.0</v>
      </c>
      <c r="B28" s="3" t="s">
        <v>85</v>
      </c>
      <c r="C28" s="3">
        <v>2462.0</v>
      </c>
      <c r="D28" s="3">
        <v>39145.8</v>
      </c>
    </row>
    <row r="29">
      <c r="A29" s="5">
        <v>45817.0</v>
      </c>
      <c r="B29" s="3" t="s">
        <v>86</v>
      </c>
      <c r="C29" s="3">
        <v>2620.0</v>
      </c>
      <c r="D29" s="3">
        <v>92224.0</v>
      </c>
    </row>
    <row r="30">
      <c r="A30" s="6">
        <v>45818.0</v>
      </c>
      <c r="B30" s="3" t="s">
        <v>87</v>
      </c>
      <c r="C30" s="3">
        <v>2765.0</v>
      </c>
      <c r="D30" s="3">
        <v>222859.0</v>
      </c>
    </row>
    <row r="31">
      <c r="A31" s="6">
        <v>45819.0</v>
      </c>
      <c r="B31" s="3" t="s">
        <v>88</v>
      </c>
      <c r="C31" s="3">
        <v>2798.0</v>
      </c>
      <c r="D31" s="3">
        <v>457752.8</v>
      </c>
    </row>
    <row r="32">
      <c r="A32" s="6">
        <v>45820.0</v>
      </c>
      <c r="B32" s="3" t="s">
        <v>89</v>
      </c>
      <c r="C32" s="3">
        <v>2683.0</v>
      </c>
      <c r="D32" s="3">
        <v>272324.5</v>
      </c>
    </row>
    <row r="33">
      <c r="A33" s="6">
        <v>45821.0</v>
      </c>
      <c r="B33" s="3">
        <v>0.0</v>
      </c>
      <c r="C33" s="3">
        <v>2550.0</v>
      </c>
      <c r="D33" s="3">
        <v>0.0</v>
      </c>
    </row>
    <row r="34">
      <c r="A34" s="6">
        <v>45824.0</v>
      </c>
      <c r="B34" s="3" t="s">
        <v>90</v>
      </c>
      <c r="C34" s="3">
        <v>2578.0</v>
      </c>
      <c r="D34" s="3">
        <v>41505.8</v>
      </c>
    </row>
    <row r="35">
      <c r="A35" s="6">
        <v>45825.0</v>
      </c>
      <c r="B35" s="3" t="s">
        <v>7</v>
      </c>
      <c r="C35" s="3">
        <v>2528.0</v>
      </c>
      <c r="D35" s="3">
        <v>92777.6</v>
      </c>
    </row>
    <row r="36">
      <c r="A36" s="6">
        <v>45826.0</v>
      </c>
      <c r="B36" s="3" t="s">
        <v>91</v>
      </c>
      <c r="C36" s="3">
        <v>2509.0</v>
      </c>
      <c r="D36" s="3">
        <v>37885.9</v>
      </c>
    </row>
    <row r="37">
      <c r="A37" s="6">
        <v>45827.0</v>
      </c>
      <c r="B37" s="3"/>
      <c r="C37" s="3">
        <v>2516.0</v>
      </c>
      <c r="D37" s="3">
        <v>0.0</v>
      </c>
    </row>
    <row r="38">
      <c r="A38" s="6">
        <v>45828.0</v>
      </c>
      <c r="B38" s="3" t="s">
        <v>92</v>
      </c>
      <c r="C38" s="3">
        <v>2448.0</v>
      </c>
      <c r="D38" s="3">
        <v>-48225.6</v>
      </c>
    </row>
    <row r="39">
      <c r="A39" s="6">
        <v>45831.0</v>
      </c>
      <c r="B39" s="3" t="s">
        <v>93</v>
      </c>
      <c r="C39" s="3">
        <v>2345.0</v>
      </c>
      <c r="D39" s="3">
        <v>60501.0</v>
      </c>
    </row>
    <row r="40">
      <c r="A40" s="6">
        <v>45832.0</v>
      </c>
      <c r="B40" s="3">
        <v>98.0</v>
      </c>
      <c r="C40" s="3">
        <v>2433.0</v>
      </c>
      <c r="D40" s="3">
        <v>238434.0</v>
      </c>
    </row>
    <row r="41">
      <c r="A41" s="6">
        <v>45833.0</v>
      </c>
      <c r="B41" s="3" t="s">
        <v>94</v>
      </c>
      <c r="C41" s="3">
        <v>2427.0</v>
      </c>
      <c r="D41" s="3">
        <v>133970.4</v>
      </c>
    </row>
    <row r="42">
      <c r="A42" s="6">
        <v>45834.0</v>
      </c>
      <c r="B42" s="3" t="s">
        <v>95</v>
      </c>
      <c r="C42" s="3">
        <v>2444.0</v>
      </c>
      <c r="D42" s="3">
        <v>14419.6</v>
      </c>
    </row>
    <row r="43">
      <c r="A43" s="6">
        <v>45835.0</v>
      </c>
      <c r="B43" s="3" t="s">
        <v>96</v>
      </c>
      <c r="C43" s="3">
        <v>2422.0</v>
      </c>
      <c r="D43" s="3">
        <v>116498.2</v>
      </c>
    </row>
    <row r="44">
      <c r="A44" s="6">
        <v>45838.0</v>
      </c>
      <c r="B44" s="3" t="s">
        <v>97</v>
      </c>
      <c r="C44" s="3">
        <v>2477.0</v>
      </c>
      <c r="D44" s="3">
        <v>15109.7</v>
      </c>
    </row>
    <row r="45">
      <c r="A45" s="5">
        <v>45839.0</v>
      </c>
      <c r="B45" s="3" t="s">
        <v>98</v>
      </c>
      <c r="C45" s="3">
        <v>2450.0</v>
      </c>
      <c r="D45" s="3">
        <v>134260.0</v>
      </c>
    </row>
    <row r="46">
      <c r="A46" s="5">
        <v>45840.0</v>
      </c>
      <c r="B46" s="3" t="s">
        <v>99</v>
      </c>
      <c r="C46" s="3">
        <v>2524.0</v>
      </c>
      <c r="D46" s="3">
        <v>-118376.0</v>
      </c>
    </row>
    <row r="47">
      <c r="A47" s="5">
        <v>45841.0</v>
      </c>
      <c r="B47" s="3" t="s">
        <v>100</v>
      </c>
      <c r="C47" s="3">
        <v>2591.0</v>
      </c>
      <c r="D47" s="3">
        <v>221271.4</v>
      </c>
    </row>
    <row r="48">
      <c r="A48" s="5">
        <v>45845.0</v>
      </c>
      <c r="B48" s="3" t="s">
        <v>101</v>
      </c>
      <c r="C48" s="3">
        <v>2552.0</v>
      </c>
      <c r="D48" s="3">
        <v>135766.4</v>
      </c>
    </row>
    <row r="49">
      <c r="A49" s="5">
        <v>45846.0</v>
      </c>
      <c r="B49" s="3" t="s">
        <v>102</v>
      </c>
      <c r="C49" s="3">
        <v>2577.0</v>
      </c>
      <c r="D49" s="3">
        <v>65198.1</v>
      </c>
    </row>
    <row r="50">
      <c r="A50" s="5">
        <v>45847.0</v>
      </c>
      <c r="B50" s="3" t="s">
        <v>103</v>
      </c>
      <c r="C50" s="3">
        <v>2689.0</v>
      </c>
      <c r="D50" s="3">
        <v>426475.4</v>
      </c>
    </row>
    <row r="51">
      <c r="A51" s="6">
        <v>45848.0</v>
      </c>
      <c r="B51" s="3" t="s">
        <v>104</v>
      </c>
      <c r="C51" s="3">
        <v>2858.0</v>
      </c>
      <c r="D51" s="3">
        <v>85997.2</v>
      </c>
    </row>
    <row r="52">
      <c r="A52" s="6">
        <v>45849.0</v>
      </c>
      <c r="B52" s="3" t="s">
        <v>105</v>
      </c>
      <c r="C52" s="3">
        <v>2971.0</v>
      </c>
      <c r="D52" s="3">
        <v>407324.1</v>
      </c>
    </row>
    <row r="53">
      <c r="A53" s="6">
        <v>45852.0</v>
      </c>
      <c r="B53" s="3" t="s">
        <v>106</v>
      </c>
      <c r="C53" s="3">
        <v>3017.0</v>
      </c>
      <c r="D53" s="3">
        <v>456773.8</v>
      </c>
    </row>
    <row r="54">
      <c r="A54" s="6">
        <v>45853.0</v>
      </c>
      <c r="B54" s="3" t="s">
        <v>107</v>
      </c>
      <c r="C54" s="3">
        <v>3070.0</v>
      </c>
      <c r="D54" s="3">
        <v>526505.0</v>
      </c>
    </row>
    <row r="55">
      <c r="A55" s="6">
        <v>45854.0</v>
      </c>
      <c r="B55" s="3" t="s">
        <v>108</v>
      </c>
      <c r="C55" s="3">
        <v>3254.0</v>
      </c>
      <c r="D55" s="3">
        <v>1624397.0</v>
      </c>
    </row>
    <row r="56">
      <c r="A56" s="6">
        <v>45855.0</v>
      </c>
      <c r="B56" s="3" t="s">
        <v>109</v>
      </c>
      <c r="C56" s="3">
        <v>3425.0</v>
      </c>
      <c r="D56" s="3">
        <v>1872448.0</v>
      </c>
    </row>
    <row r="57">
      <c r="A57" s="6">
        <v>45856.0</v>
      </c>
      <c r="B57" s="3" t="s">
        <v>110</v>
      </c>
      <c r="C57" s="3">
        <v>3556.0</v>
      </c>
      <c r="D57" s="3">
        <v>1404264.0</v>
      </c>
    </row>
    <row r="58">
      <c r="A58" s="6">
        <v>45859.0</v>
      </c>
      <c r="B58" s="3">
        <v>102.0</v>
      </c>
      <c r="C58" s="3">
        <v>3764.0</v>
      </c>
      <c r="D58" s="3">
        <v>383928.0</v>
      </c>
    </row>
    <row r="59">
      <c r="A59" s="6">
        <v>45860.0</v>
      </c>
      <c r="B59" s="3" t="s">
        <v>111</v>
      </c>
      <c r="C59" s="3">
        <v>3724.0</v>
      </c>
      <c r="D59" s="3">
        <v>1587169.0</v>
      </c>
    </row>
    <row r="60">
      <c r="A60" s="6">
        <v>45861.0</v>
      </c>
      <c r="B60" s="3" t="s">
        <v>112</v>
      </c>
      <c r="C60" s="3">
        <v>3648.0</v>
      </c>
      <c r="D60" s="3">
        <v>1184141.0</v>
      </c>
    </row>
    <row r="61">
      <c r="A61" s="6">
        <v>45862.0</v>
      </c>
      <c r="B61" s="3">
        <v>0.0</v>
      </c>
      <c r="C61" s="3">
        <v>3662.0</v>
      </c>
      <c r="D61" s="3">
        <v>0.0</v>
      </c>
    </row>
    <row r="62">
      <c r="A62" s="6">
        <v>45863.0</v>
      </c>
      <c r="B62" s="3" t="s">
        <v>113</v>
      </c>
      <c r="C62" s="3">
        <v>3684.0</v>
      </c>
      <c r="D62" s="3">
        <v>1621328.0</v>
      </c>
    </row>
    <row r="63">
      <c r="A63" s="6">
        <v>45866.0</v>
      </c>
      <c r="B63" s="3">
        <v>132.0</v>
      </c>
      <c r="C63" s="3">
        <v>3830.0</v>
      </c>
      <c r="D63" s="3">
        <v>505560.0</v>
      </c>
    </row>
    <row r="64">
      <c r="A64" s="6">
        <v>45867.0</v>
      </c>
      <c r="B64" s="3" t="s">
        <v>114</v>
      </c>
      <c r="C64" s="3">
        <v>3800.0</v>
      </c>
      <c r="D64" s="3">
        <v>850060.0</v>
      </c>
    </row>
    <row r="65">
      <c r="A65" s="6">
        <v>45868.0</v>
      </c>
      <c r="B65" s="3" t="s">
        <v>115</v>
      </c>
      <c r="C65" s="3">
        <v>3773.0</v>
      </c>
      <c r="D65" s="3">
        <v>76591.9</v>
      </c>
    </row>
    <row r="66">
      <c r="A66" s="6">
        <v>45869.0</v>
      </c>
      <c r="B66" s="3" t="s">
        <v>116</v>
      </c>
      <c r="C66" s="3">
        <v>3748.0</v>
      </c>
      <c r="D66" s="3">
        <v>68213.6</v>
      </c>
    </row>
    <row r="67">
      <c r="A67" s="5">
        <v>45870.0</v>
      </c>
      <c r="B67" s="3">
        <v>0.0</v>
      </c>
      <c r="C67" s="3">
        <v>3577.0</v>
      </c>
      <c r="D67" s="3">
        <v>0.0</v>
      </c>
    </row>
    <row r="68">
      <c r="A68" s="5">
        <v>45873.0</v>
      </c>
      <c r="B68" s="3">
        <v>-375.0</v>
      </c>
      <c r="C68" s="3">
        <v>3642.0</v>
      </c>
      <c r="D68" s="3">
        <v>-1365750.0</v>
      </c>
    </row>
    <row r="69">
      <c r="A69" s="5">
        <v>45874.0</v>
      </c>
      <c r="B69" s="3" t="s">
        <v>117</v>
      </c>
      <c r="C69" s="3">
        <v>3635.0</v>
      </c>
      <c r="D69" s="3">
        <v>322788.0</v>
      </c>
    </row>
    <row r="70">
      <c r="A70" s="5">
        <v>45875.0</v>
      </c>
      <c r="B70" s="3" t="s">
        <v>118</v>
      </c>
      <c r="C70" s="3">
        <v>3654.0</v>
      </c>
      <c r="D70" s="3">
        <v>122043.6</v>
      </c>
    </row>
    <row r="71">
      <c r="A71" s="5">
        <v>45876.0</v>
      </c>
      <c r="B71" s="3" t="s">
        <v>119</v>
      </c>
      <c r="C71" s="3">
        <v>3817.0</v>
      </c>
      <c r="D71" s="3">
        <v>395059.5</v>
      </c>
    </row>
    <row r="72">
      <c r="A72" s="5">
        <v>45877.0</v>
      </c>
      <c r="B72" s="3" t="s">
        <v>120</v>
      </c>
      <c r="C72" s="3">
        <v>3965.0</v>
      </c>
      <c r="D72" s="3">
        <v>1009886.0</v>
      </c>
    </row>
    <row r="73">
      <c r="A73" s="6">
        <v>45880.0</v>
      </c>
      <c r="B73" s="3" t="s">
        <v>121</v>
      </c>
      <c r="C73" s="3">
        <v>4250.0</v>
      </c>
      <c r="D73" s="3">
        <v>2719150.0</v>
      </c>
    </row>
    <row r="74">
      <c r="A74" s="6">
        <v>45881.0</v>
      </c>
      <c r="B74" s="3" t="s">
        <v>122</v>
      </c>
      <c r="C74" s="3">
        <v>4482.0</v>
      </c>
      <c r="D74" s="3">
        <v>1428413.0</v>
      </c>
    </row>
    <row r="75">
      <c r="A75" s="6">
        <v>45882.0</v>
      </c>
      <c r="B75" s="3" t="s">
        <v>123</v>
      </c>
      <c r="C75" s="3">
        <v>4698.0</v>
      </c>
      <c r="D75" s="3">
        <v>2353228.0</v>
      </c>
    </row>
    <row r="76">
      <c r="A76" s="6">
        <v>45883.0</v>
      </c>
      <c r="B76" s="3" t="s">
        <v>124</v>
      </c>
      <c r="C76" s="3">
        <v>4596.0</v>
      </c>
      <c r="D76" s="3">
        <v>2388541.0</v>
      </c>
    </row>
    <row r="77">
      <c r="A77" s="6">
        <v>45884.0</v>
      </c>
      <c r="B77" s="3" t="s">
        <v>125</v>
      </c>
      <c r="C77" s="40">
        <v>4490.0</v>
      </c>
      <c r="D77" s="3">
        <v>1518069.0</v>
      </c>
    </row>
    <row r="78">
      <c r="A78" s="7">
        <v>45887.0</v>
      </c>
      <c r="B78" s="8" t="s">
        <v>126</v>
      </c>
      <c r="C78" s="9">
        <v>4338.0</v>
      </c>
      <c r="D78" s="9">
        <v>-378273.0</v>
      </c>
    </row>
    <row r="79">
      <c r="A79" s="7">
        <v>45888.0</v>
      </c>
      <c r="B79" s="8" t="s">
        <v>127</v>
      </c>
      <c r="C79" s="9">
        <v>4164.0</v>
      </c>
      <c r="D79" s="41">
        <v>-26233.0</v>
      </c>
    </row>
    <row r="80">
      <c r="A80" s="7">
        <v>45889.0</v>
      </c>
      <c r="B80" s="8" t="s">
        <v>128</v>
      </c>
      <c r="C80" s="9">
        <v>4257.0</v>
      </c>
      <c r="D80" s="9">
        <v>-1097454.0</v>
      </c>
    </row>
    <row r="81">
      <c r="A81" s="7">
        <v>45890.0</v>
      </c>
      <c r="B81" s="9">
        <v>233.6</v>
      </c>
      <c r="C81" s="9">
        <v>4255.0</v>
      </c>
      <c r="D81" s="9">
        <v>993968.0</v>
      </c>
    </row>
    <row r="82">
      <c r="A82" s="7">
        <v>45891.0</v>
      </c>
      <c r="B82" s="9">
        <v>109.4</v>
      </c>
      <c r="C82" s="9">
        <v>4642.0</v>
      </c>
      <c r="D82" s="9">
        <v>507834.0</v>
      </c>
    </row>
    <row r="83">
      <c r="A83" s="7">
        <v>45894.0</v>
      </c>
      <c r="B83" s="9">
        <v>314.9</v>
      </c>
      <c r="C83" s="9">
        <v>4500.0</v>
      </c>
      <c r="D83" s="9">
        <v>1417050.0</v>
      </c>
    </row>
    <row r="84">
      <c r="A84" s="7">
        <v>45895.0</v>
      </c>
      <c r="B84" s="9">
        <v>323.1</v>
      </c>
      <c r="C84" s="9">
        <v>4513.0</v>
      </c>
      <c r="D84" s="9">
        <v>1458150.0</v>
      </c>
    </row>
    <row r="85">
      <c r="A85" s="7">
        <v>45896.0</v>
      </c>
      <c r="B85" s="8" t="s">
        <v>129</v>
      </c>
      <c r="C85" s="9">
        <v>4548.0</v>
      </c>
      <c r="D85" s="9">
        <v>1195214.0</v>
      </c>
    </row>
    <row r="86">
      <c r="A86" s="7">
        <v>45897.0</v>
      </c>
      <c r="B86" s="9">
        <v>67.6</v>
      </c>
      <c r="C86" s="9">
        <v>4522.0</v>
      </c>
      <c r="D86" s="9">
        <v>305687.0</v>
      </c>
    </row>
    <row r="87">
      <c r="A87" s="7">
        <v>45898.0</v>
      </c>
      <c r="B87" s="9">
        <v>0.0</v>
      </c>
      <c r="C87" s="9">
        <v>4379.0</v>
      </c>
      <c r="D87" s="9">
        <v>0.0</v>
      </c>
    </row>
    <row r="88">
      <c r="A88" s="7">
        <v>45902.0</v>
      </c>
      <c r="B88" s="9">
        <v>0.0</v>
      </c>
      <c r="C88" s="9">
        <v>4331.0</v>
      </c>
      <c r="D88" s="9">
        <v>0.0</v>
      </c>
    </row>
    <row r="89">
      <c r="A89" s="7">
        <v>45903.0</v>
      </c>
      <c r="B89" s="9">
        <v>-151.4</v>
      </c>
      <c r="C89" s="9">
        <v>4406.0</v>
      </c>
      <c r="D89" s="9">
        <v>-667068.0</v>
      </c>
    </row>
    <row r="90">
      <c r="A90" s="7">
        <v>45904.0</v>
      </c>
      <c r="B90" s="9">
        <v>148.8</v>
      </c>
      <c r="C90" s="9">
        <v>4346.0</v>
      </c>
      <c r="D90" s="9">
        <v>646684.0</v>
      </c>
    </row>
    <row r="91">
      <c r="A91" s="7">
        <v>45905.0</v>
      </c>
      <c r="B91" s="9">
        <v>-309.9</v>
      </c>
      <c r="C91" s="9">
        <v>4350.0</v>
      </c>
      <c r="D91" s="9">
        <v>-1348065.0</v>
      </c>
    </row>
    <row r="92">
      <c r="A92" s="7">
        <v>45908.0</v>
      </c>
      <c r="B92" s="9">
        <v>-192.7</v>
      </c>
      <c r="C92" s="9">
        <v>4320.0</v>
      </c>
      <c r="D92" s="9">
        <v>-832464.0</v>
      </c>
    </row>
    <row r="93">
      <c r="A93" s="7">
        <v>45909.0</v>
      </c>
      <c r="B93" s="9">
        <v>44.2</v>
      </c>
      <c r="C93" s="9">
        <v>4321.0</v>
      </c>
      <c r="D93" s="9">
        <v>190988.0</v>
      </c>
    </row>
    <row r="94">
      <c r="A94" s="7">
        <v>45910.0</v>
      </c>
      <c r="B94" s="9">
        <v>74.5</v>
      </c>
      <c r="C94" s="9">
        <v>4361.0</v>
      </c>
      <c r="D94" s="9">
        <v>324894.0</v>
      </c>
    </row>
    <row r="95">
      <c r="A95" s="7">
        <v>45911.0</v>
      </c>
      <c r="B95" s="9">
        <v>-17.4</v>
      </c>
      <c r="C95" s="9">
        <v>4423.0</v>
      </c>
      <c r="D95" s="9">
        <v>-76960.0</v>
      </c>
    </row>
    <row r="96">
      <c r="A96" s="7">
        <v>45912.0</v>
      </c>
      <c r="B96" s="9">
        <v>165.6</v>
      </c>
      <c r="C96" s="9">
        <v>4637.0</v>
      </c>
      <c r="D96" s="9">
        <v>767887.0</v>
      </c>
      <c r="F96" s="42"/>
    </row>
    <row r="97">
      <c r="A97" s="7">
        <v>45915.0</v>
      </c>
      <c r="B97" s="9">
        <v>363.2</v>
      </c>
      <c r="C97" s="9">
        <v>4550.0</v>
      </c>
      <c r="D97" s="9">
        <v>1652560.0</v>
      </c>
    </row>
    <row r="98">
      <c r="A98" s="7">
        <v>45916.0</v>
      </c>
      <c r="B98" s="9">
        <v>-20.3</v>
      </c>
      <c r="C98" s="9">
        <v>4485.0</v>
      </c>
      <c r="D98" s="9">
        <v>-91045.0</v>
      </c>
    </row>
    <row r="99">
      <c r="A99" s="7">
        <v>45917.0</v>
      </c>
      <c r="B99" s="9">
        <v>25.9</v>
      </c>
      <c r="C99" s="9">
        <v>4536.0</v>
      </c>
      <c r="D99" s="9">
        <v>117482.0</v>
      </c>
    </row>
    <row r="100">
      <c r="A100" s="7">
        <v>45918.0</v>
      </c>
      <c r="B100" s="9">
        <v>0.0</v>
      </c>
      <c r="C100" s="9">
        <v>4593.0</v>
      </c>
      <c r="D100" s="9">
        <v>0.0</v>
      </c>
    </row>
    <row r="101">
      <c r="A101" s="7">
        <v>45919.0</v>
      </c>
      <c r="B101" s="9">
        <v>144.3</v>
      </c>
      <c r="C101" s="9">
        <v>4506.0</v>
      </c>
      <c r="D101" s="9">
        <v>650695.0</v>
      </c>
    </row>
    <row r="102">
      <c r="A102" s="7">
        <v>45922.0</v>
      </c>
      <c r="B102" s="9">
        <v>-15.1</v>
      </c>
      <c r="C102" s="9">
        <v>4217.0</v>
      </c>
      <c r="D102" s="9">
        <v>-63676.0</v>
      </c>
    </row>
    <row r="103">
      <c r="A103" s="7">
        <v>45923.0</v>
      </c>
      <c r="B103" s="9">
        <v>0.0</v>
      </c>
      <c r="C103" s="9">
        <v>4167.0</v>
      </c>
      <c r="D103" s="9">
        <v>0.0</v>
      </c>
    </row>
    <row r="104">
      <c r="A104" s="7">
        <v>45924.0</v>
      </c>
      <c r="B104" s="9">
        <v>-26.5</v>
      </c>
      <c r="C104" s="9">
        <v>4142.0</v>
      </c>
      <c r="D104" s="9">
        <v>-109763.0</v>
      </c>
    </row>
    <row r="105">
      <c r="A105" s="7">
        <v>45925.0</v>
      </c>
      <c r="B105" s="9">
        <v>0.0</v>
      </c>
      <c r="C105" s="9">
        <v>3951.0</v>
      </c>
      <c r="D105" s="9">
        <v>0.0</v>
      </c>
    </row>
    <row r="106">
      <c r="A106" s="7">
        <v>45926.0</v>
      </c>
      <c r="B106" s="9">
        <v>-199.9</v>
      </c>
      <c r="C106" s="9">
        <v>3987.0</v>
      </c>
      <c r="D106" s="9">
        <v>-797001.0</v>
      </c>
    </row>
    <row r="107">
      <c r="A107" s="7">
        <v>45929.0</v>
      </c>
      <c r="B107" s="9">
        <v>154.2</v>
      </c>
      <c r="C107" s="9">
        <v>4166.0</v>
      </c>
      <c r="D107" s="9">
        <v>642757.0</v>
      </c>
    </row>
    <row r="108">
      <c r="A108" s="7">
        <v>45930.0</v>
      </c>
      <c r="B108" s="9">
        <v>127.5</v>
      </c>
      <c r="C108" s="9">
        <v>4173.0</v>
      </c>
      <c r="D108" s="9">
        <v>532057.0</v>
      </c>
    </row>
    <row r="109">
      <c r="A109" s="7">
        <v>45931.0</v>
      </c>
      <c r="B109" s="9">
        <v>26.2</v>
      </c>
      <c r="C109" s="9">
        <v>4242.0</v>
      </c>
      <c r="D109" s="9">
        <v>111140.0</v>
      </c>
    </row>
    <row r="110">
      <c r="A110" s="7">
        <v>45932.0</v>
      </c>
      <c r="B110" s="9">
        <v>177.1</v>
      </c>
      <c r="C110" s="9">
        <v>4418.0</v>
      </c>
      <c r="D110" s="9">
        <v>782757.0</v>
      </c>
    </row>
    <row r="111">
      <c r="A111" s="7">
        <v>45933.0</v>
      </c>
      <c r="B111" s="9">
        <v>206.7</v>
      </c>
      <c r="C111" s="9">
        <v>4502.0</v>
      </c>
      <c r="D111" s="9">
        <v>930563.0</v>
      </c>
    </row>
    <row r="112">
      <c r="A112" s="7">
        <v>45936.0</v>
      </c>
      <c r="B112" s="9">
        <v>92.6</v>
      </c>
      <c r="C112" s="9">
        <v>4604.0</v>
      </c>
      <c r="D112" s="14">
        <f t="shared" ref="D112:D143" si="1">B112*C112</f>
        <v>426330.4</v>
      </c>
    </row>
    <row r="113">
      <c r="A113" s="7">
        <v>45937.0</v>
      </c>
      <c r="B113" s="9">
        <v>437.5</v>
      </c>
      <c r="C113" s="9">
        <v>4576.0</v>
      </c>
      <c r="D113" s="14">
        <f t="shared" si="1"/>
        <v>2002000</v>
      </c>
    </row>
    <row r="114">
      <c r="A114" s="7">
        <v>45938.0</v>
      </c>
      <c r="B114" s="9">
        <v>148.9</v>
      </c>
      <c r="C114" s="9">
        <v>4484.0</v>
      </c>
      <c r="D114" s="14">
        <f t="shared" si="1"/>
        <v>667667.6</v>
      </c>
    </row>
    <row r="115">
      <c r="A115" s="7">
        <v>45939.0</v>
      </c>
      <c r="B115" s="9">
        <v>39.3</v>
      </c>
      <c r="C115" s="9">
        <v>4420.0</v>
      </c>
      <c r="D115" s="14">
        <f t="shared" si="1"/>
        <v>173706</v>
      </c>
    </row>
    <row r="116">
      <c r="A116" s="7">
        <v>45940.0</v>
      </c>
      <c r="B116" s="9">
        <v>-80.2</v>
      </c>
      <c r="C116" s="9">
        <v>3994.0</v>
      </c>
      <c r="D116" s="14">
        <f t="shared" si="1"/>
        <v>-320318.8</v>
      </c>
    </row>
    <row r="117">
      <c r="A117" s="7">
        <v>45943.0</v>
      </c>
      <c r="B117" s="9">
        <v>-310.1</v>
      </c>
      <c r="C117" s="9">
        <v>4179.0</v>
      </c>
      <c r="D117" s="14">
        <f t="shared" si="1"/>
        <v>-1295907.9</v>
      </c>
    </row>
    <row r="118">
      <c r="A118" s="7">
        <v>45944.0</v>
      </c>
      <c r="B118" s="9">
        <v>0.0</v>
      </c>
      <c r="C118" s="9">
        <v>4127.0</v>
      </c>
      <c r="D118" s="14">
        <f t="shared" si="1"/>
        <v>0</v>
      </c>
    </row>
    <row r="119">
      <c r="A119" s="7">
        <v>45945.0</v>
      </c>
      <c r="B119" s="9">
        <v>164.3</v>
      </c>
      <c r="C119" s="9">
        <v>4042.0</v>
      </c>
      <c r="D119" s="14">
        <f t="shared" si="1"/>
        <v>664100.6</v>
      </c>
    </row>
    <row r="120">
      <c r="A120" s="7">
        <v>45946.0</v>
      </c>
      <c r="B120" s="9">
        <v>46.9</v>
      </c>
      <c r="C120" s="9">
        <v>3935.0</v>
      </c>
      <c r="D120" s="14">
        <f t="shared" si="1"/>
        <v>184551.5</v>
      </c>
    </row>
    <row r="121">
      <c r="A121" s="7">
        <v>45947.0</v>
      </c>
      <c r="B121" s="9">
        <v>-146.1</v>
      </c>
      <c r="C121" s="9">
        <v>3816.0</v>
      </c>
      <c r="D121" s="14">
        <f t="shared" si="1"/>
        <v>-557517.6</v>
      </c>
    </row>
    <row r="122">
      <c r="A122" s="7">
        <v>45950.0</v>
      </c>
      <c r="B122" s="9">
        <v>-117.9</v>
      </c>
      <c r="C122" s="9">
        <v>3990.0</v>
      </c>
      <c r="D122" s="14">
        <f t="shared" si="1"/>
        <v>-470421</v>
      </c>
    </row>
    <row r="123">
      <c r="A123" s="7">
        <v>45951.0</v>
      </c>
      <c r="B123" s="9">
        <v>42.5</v>
      </c>
      <c r="C123" s="9">
        <v>3939.0</v>
      </c>
      <c r="D123" s="14">
        <f t="shared" si="1"/>
        <v>167407.5</v>
      </c>
    </row>
    <row r="124">
      <c r="A124" s="7">
        <v>45952.0</v>
      </c>
      <c r="B124" s="9">
        <v>110.7</v>
      </c>
      <c r="C124" s="9">
        <v>3799.0</v>
      </c>
      <c r="D124" s="14">
        <f t="shared" si="1"/>
        <v>420549.3</v>
      </c>
    </row>
    <row r="125">
      <c r="A125" s="7">
        <v>45953.0</v>
      </c>
      <c r="B125" s="9">
        <v>-23.4</v>
      </c>
      <c r="C125" s="9">
        <v>3861.0</v>
      </c>
      <c r="D125" s="14">
        <f t="shared" si="1"/>
        <v>-90347.4</v>
      </c>
    </row>
    <row r="126">
      <c r="A126" s="7">
        <v>45954.0</v>
      </c>
      <c r="B126" s="9">
        <v>-101.0</v>
      </c>
      <c r="C126" s="9">
        <v>3934.0</v>
      </c>
      <c r="D126" s="14">
        <f t="shared" si="1"/>
        <v>-397334</v>
      </c>
    </row>
    <row r="127">
      <c r="A127" s="7">
        <v>45957.0</v>
      </c>
      <c r="B127" s="9">
        <v>72.5</v>
      </c>
      <c r="C127" s="9">
        <v>4160.0</v>
      </c>
      <c r="D127" s="14">
        <f t="shared" si="1"/>
        <v>301600</v>
      </c>
    </row>
    <row r="128">
      <c r="A128" s="7">
        <v>45958.0</v>
      </c>
      <c r="B128" s="9">
        <v>76.4</v>
      </c>
      <c r="C128" s="9">
        <v>4025.0</v>
      </c>
      <c r="D128" s="14">
        <f t="shared" si="1"/>
        <v>307510</v>
      </c>
    </row>
    <row r="129">
      <c r="A129" s="7">
        <v>45959.0</v>
      </c>
      <c r="B129" s="43">
        <v>21.4</v>
      </c>
      <c r="C129" s="9">
        <v>3935.0</v>
      </c>
      <c r="D129" s="14">
        <f t="shared" si="1"/>
        <v>84209</v>
      </c>
    </row>
    <row r="130">
      <c r="A130" s="7">
        <v>45960.0</v>
      </c>
      <c r="B130" s="43">
        <v>-118.0</v>
      </c>
      <c r="C130" s="9">
        <v>3809.0</v>
      </c>
      <c r="D130" s="14">
        <f t="shared" si="1"/>
        <v>-449462</v>
      </c>
    </row>
    <row r="131">
      <c r="A131" s="7">
        <v>45961.0</v>
      </c>
      <c r="B131" s="43">
        <v>-38.6</v>
      </c>
      <c r="C131" s="9">
        <v>3848.0</v>
      </c>
      <c r="D131" s="14">
        <f t="shared" si="1"/>
        <v>-148532.8</v>
      </c>
    </row>
    <row r="132">
      <c r="A132" s="7">
        <v>45964.0</v>
      </c>
      <c r="B132" s="43">
        <v>-81.7</v>
      </c>
      <c r="C132" s="9">
        <v>3690.0</v>
      </c>
      <c r="D132" s="14">
        <f t="shared" si="1"/>
        <v>-301473</v>
      </c>
    </row>
    <row r="133">
      <c r="A133" s="7">
        <v>45965.0</v>
      </c>
      <c r="B133" s="43">
        <v>-111.1</v>
      </c>
      <c r="C133" s="9">
        <v>3331.0</v>
      </c>
      <c r="D133" s="14">
        <f t="shared" si="1"/>
        <v>-370074.1</v>
      </c>
    </row>
    <row r="134">
      <c r="A134" s="7">
        <v>45966.0</v>
      </c>
      <c r="B134" s="43">
        <v>-146.6</v>
      </c>
      <c r="C134" s="9">
        <v>3356.0</v>
      </c>
      <c r="D134" s="14">
        <f t="shared" si="1"/>
        <v>-491989.6</v>
      </c>
    </row>
    <row r="135">
      <c r="A135" s="7">
        <v>45967.0</v>
      </c>
      <c r="B135" s="43">
        <v>8.0</v>
      </c>
      <c r="C135" s="9">
        <v>3338.0</v>
      </c>
      <c r="D135" s="14">
        <f t="shared" si="1"/>
        <v>26704</v>
      </c>
    </row>
    <row r="136">
      <c r="A136" s="7">
        <v>45968.0</v>
      </c>
      <c r="B136" s="43">
        <v>34.4</v>
      </c>
      <c r="C136" s="9">
        <v>3366.0</v>
      </c>
      <c r="D136" s="14">
        <f t="shared" si="1"/>
        <v>115790.4</v>
      </c>
    </row>
    <row r="137">
      <c r="A137" s="7">
        <v>45971.0</v>
      </c>
      <c r="B137" s="43">
        <v>0.0</v>
      </c>
      <c r="C137" s="9">
        <v>3577.0</v>
      </c>
      <c r="D137" s="14">
        <f t="shared" si="1"/>
        <v>0</v>
      </c>
    </row>
    <row r="138">
      <c r="A138" s="7">
        <v>45972.0</v>
      </c>
      <c r="B138" s="43">
        <v>-19.8</v>
      </c>
      <c r="C138" s="9">
        <v>3489.0</v>
      </c>
      <c r="D138" s="14">
        <f t="shared" si="1"/>
        <v>-69082.2</v>
      </c>
    </row>
    <row r="139">
      <c r="A139" s="7">
        <v>45973.0</v>
      </c>
      <c r="B139" s="43">
        <v>-91.0</v>
      </c>
      <c r="C139" s="9">
        <v>3457.0</v>
      </c>
      <c r="D139" s="14">
        <f t="shared" si="1"/>
        <v>-314587</v>
      </c>
    </row>
    <row r="140">
      <c r="A140" s="7">
        <v>45974.0</v>
      </c>
      <c r="B140" s="43">
        <v>-137.3</v>
      </c>
      <c r="C140" s="9">
        <v>3316.0</v>
      </c>
      <c r="D140" s="14">
        <f t="shared" si="1"/>
        <v>-455286.8</v>
      </c>
    </row>
    <row r="141">
      <c r="A141" s="7">
        <v>45975.0</v>
      </c>
      <c r="B141" s="43">
        <v>-173.3</v>
      </c>
      <c r="C141" s="9">
        <v>3145.0</v>
      </c>
      <c r="D141" s="14">
        <f t="shared" si="1"/>
        <v>-545028.5</v>
      </c>
    </row>
    <row r="142">
      <c r="A142" s="7">
        <v>45978.0</v>
      </c>
      <c r="B142" s="43">
        <v>-193.0</v>
      </c>
      <c r="C142" s="9">
        <v>3070.0</v>
      </c>
      <c r="D142" s="14">
        <f t="shared" si="1"/>
        <v>-592510</v>
      </c>
    </row>
    <row r="143">
      <c r="A143" s="7">
        <v>45979.0</v>
      </c>
      <c r="B143" s="43">
        <v>-165.1</v>
      </c>
      <c r="C143" s="9">
        <v>3078.0</v>
      </c>
      <c r="D143" s="14">
        <f t="shared" si="1"/>
        <v>-508177.8</v>
      </c>
    </row>
    <row r="144">
      <c r="A144" s="7"/>
      <c r="B144" s="43">
        <v>8909.5</v>
      </c>
      <c r="D144" s="14">
        <f>SUM(D2:D143)
</f>
        <v>33803992.7</v>
      </c>
    </row>
    <row r="145">
      <c r="A145" s="7"/>
    </row>
    <row r="146">
      <c r="A146" s="7"/>
    </row>
    <row r="147">
      <c r="A147" s="7"/>
      <c r="B147" s="44"/>
      <c r="C147" s="45"/>
      <c r="D147" s="18"/>
    </row>
    <row r="148">
      <c r="A148" s="20"/>
      <c r="B148" s="46"/>
      <c r="C148" s="47"/>
      <c r="D148" s="47"/>
    </row>
    <row r="149">
      <c r="B149" s="46"/>
      <c r="C149" s="47"/>
      <c r="D149" s="47"/>
    </row>
    <row r="150">
      <c r="A150" s="20"/>
      <c r="B150" s="46"/>
      <c r="C150" s="47"/>
      <c r="D150" s="47"/>
      <c r="F150" s="48">
        <f>165.1-74.2</f>
        <v>90.9</v>
      </c>
      <c r="G150" s="48"/>
    </row>
    <row r="151">
      <c r="B151" s="46"/>
      <c r="C151" s="47"/>
      <c r="D151" s="47"/>
      <c r="F151" s="49"/>
      <c r="G151" s="49"/>
    </row>
    <row r="152">
      <c r="A152" s="20"/>
      <c r="B152" s="46"/>
      <c r="C152" s="47"/>
      <c r="D152" s="47"/>
      <c r="F152" s="48"/>
      <c r="G152" s="48"/>
    </row>
    <row r="153">
      <c r="B153" s="46"/>
      <c r="C153" s="47"/>
      <c r="D153" s="47"/>
    </row>
    <row r="154">
      <c r="B154" s="46"/>
      <c r="C154" s="47"/>
      <c r="D154" s="47"/>
    </row>
    <row r="155">
      <c r="B155" s="47"/>
      <c r="C155" s="50"/>
      <c r="D155" s="50"/>
    </row>
    <row r="156">
      <c r="B156" s="46"/>
      <c r="C156" s="47"/>
      <c r="D156" s="47"/>
    </row>
    <row r="157">
      <c r="B157" s="46"/>
      <c r="C157" s="47"/>
      <c r="D157" s="47"/>
    </row>
    <row r="158">
      <c r="B158" s="51" t="s">
        <v>130</v>
      </c>
      <c r="C158" s="52" t="s">
        <v>65</v>
      </c>
      <c r="D158" s="52" t="s">
        <v>66</v>
      </c>
    </row>
    <row r="159">
      <c r="B159" s="52" t="s">
        <v>67</v>
      </c>
      <c r="C159" s="53">
        <f>B144</f>
        <v>8909.5</v>
      </c>
      <c r="D159" s="53">
        <f>D144/B144</f>
        <v>3794.15149</v>
      </c>
    </row>
    <row r="160">
      <c r="B160" s="36"/>
      <c r="C160" s="54"/>
      <c r="D160" s="55"/>
    </row>
    <row r="161">
      <c r="B161" s="33" t="s">
        <v>68</v>
      </c>
      <c r="C161" s="56">
        <f>SUM(B139:B143)
</f>
        <v>-759.7</v>
      </c>
      <c r="D161" s="53">
        <f>SUM(D139:D143)/C161</f>
        <v>3179.663157</v>
      </c>
    </row>
    <row r="162">
      <c r="B162" s="36"/>
      <c r="C162" s="57"/>
      <c r="D162" s="55"/>
    </row>
    <row r="163">
      <c r="B163" s="33" t="s">
        <v>69</v>
      </c>
      <c r="C163" s="56">
        <f>SUM(B124:B143)
</f>
        <v>-1076.5</v>
      </c>
      <c r="D163" s="53">
        <f>SUM(D124:D143)/C163</f>
        <v>3230.39712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63"/>
  </cols>
  <sheetData>
    <row r="1">
      <c r="A1" s="58" t="s">
        <v>0</v>
      </c>
      <c r="B1" s="58" t="s">
        <v>1</v>
      </c>
      <c r="C1" s="59" t="s">
        <v>2</v>
      </c>
      <c r="D1" s="58" t="s">
        <v>3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60">
        <v>45840.0</v>
      </c>
      <c r="B2" s="61">
        <v>0.6</v>
      </c>
      <c r="C2" s="62">
        <v>150.85</v>
      </c>
      <c r="D2" s="14">
        <f t="shared" ref="D2:D13" si="1">B2*C2</f>
        <v>90.51</v>
      </c>
    </row>
    <row r="3">
      <c r="A3" s="60">
        <v>45841.0</v>
      </c>
      <c r="B3" s="61">
        <v>11.4</v>
      </c>
      <c r="C3" s="62">
        <v>152.86</v>
      </c>
      <c r="D3" s="14">
        <f t="shared" si="1"/>
        <v>1742.604</v>
      </c>
    </row>
    <row r="4">
      <c r="A4" s="60">
        <v>45845.0</v>
      </c>
      <c r="B4" s="61">
        <v>8.8</v>
      </c>
      <c r="C4" s="62">
        <v>150.06</v>
      </c>
      <c r="D4" s="14">
        <f t="shared" si="1"/>
        <v>1320.528</v>
      </c>
    </row>
    <row r="5">
      <c r="A5" s="60">
        <v>45846.0</v>
      </c>
      <c r="B5" s="61">
        <v>21.0</v>
      </c>
      <c r="C5" s="62">
        <v>150.77</v>
      </c>
      <c r="D5" s="14">
        <f t="shared" si="1"/>
        <v>3166.17</v>
      </c>
    </row>
    <row r="6">
      <c r="A6" s="60">
        <v>45847.0</v>
      </c>
      <c r="B6" s="61">
        <v>33.5</v>
      </c>
      <c r="C6" s="62">
        <v>155.2</v>
      </c>
      <c r="D6" s="14">
        <f t="shared" si="1"/>
        <v>5199.2</v>
      </c>
    </row>
    <row r="7">
      <c r="A7" s="60">
        <v>45848.0</v>
      </c>
      <c r="B7" s="61">
        <v>-15.7</v>
      </c>
      <c r="C7" s="62">
        <v>161.83</v>
      </c>
      <c r="D7" s="14">
        <f t="shared" si="1"/>
        <v>-2540.731</v>
      </c>
    </row>
    <row r="8">
      <c r="A8" s="60">
        <v>45849.0</v>
      </c>
      <c r="B8" s="61">
        <v>10.7</v>
      </c>
      <c r="C8" s="62">
        <v>163.54</v>
      </c>
      <c r="D8" s="14">
        <f t="shared" si="1"/>
        <v>1749.878</v>
      </c>
    </row>
    <row r="9">
      <c r="A9" s="60">
        <v>45853.0</v>
      </c>
      <c r="B9" s="61">
        <v>3.3</v>
      </c>
      <c r="C9" s="62">
        <v>161.8</v>
      </c>
      <c r="D9" s="14">
        <f t="shared" si="1"/>
        <v>533.94</v>
      </c>
    </row>
    <row r="10">
      <c r="A10" s="60">
        <v>45855.0</v>
      </c>
      <c r="B10" s="61">
        <v>8.4</v>
      </c>
      <c r="C10" s="62">
        <v>174.27</v>
      </c>
      <c r="D10" s="14">
        <f t="shared" si="1"/>
        <v>1463.868</v>
      </c>
    </row>
    <row r="11">
      <c r="A11" s="60">
        <v>45856.0</v>
      </c>
      <c r="B11" s="61">
        <v>11.4</v>
      </c>
      <c r="C11" s="62">
        <v>178.35</v>
      </c>
      <c r="D11" s="14">
        <f t="shared" si="1"/>
        <v>2033.19</v>
      </c>
    </row>
    <row r="12">
      <c r="A12" s="60">
        <v>45859.0</v>
      </c>
      <c r="B12" s="61">
        <v>0.0</v>
      </c>
      <c r="C12" s="62">
        <v>191.05</v>
      </c>
      <c r="D12" s="14">
        <f t="shared" si="1"/>
        <v>0</v>
      </c>
    </row>
    <row r="13">
      <c r="A13" s="60">
        <v>45860.0</v>
      </c>
      <c r="B13" s="61">
        <v>12.6</v>
      </c>
      <c r="C13" s="62">
        <v>201.9</v>
      </c>
      <c r="D13" s="14">
        <f t="shared" si="1"/>
        <v>2543.94</v>
      </c>
    </row>
    <row r="14">
      <c r="A14" s="60">
        <v>45862.0</v>
      </c>
      <c r="B14" s="61">
        <v>13.4</v>
      </c>
      <c r="C14" s="62">
        <v>184.36</v>
      </c>
      <c r="D14" s="9">
        <v>2470.42</v>
      </c>
    </row>
    <row r="15">
      <c r="A15" s="60">
        <v>45863.0</v>
      </c>
      <c r="B15" s="61">
        <v>1.4</v>
      </c>
      <c r="C15" s="62">
        <v>183.07</v>
      </c>
      <c r="D15" s="9">
        <v>256.3</v>
      </c>
    </row>
    <row r="16">
      <c r="A16" s="60">
        <v>45866.0</v>
      </c>
      <c r="B16" s="61">
        <v>5.2</v>
      </c>
      <c r="C16" s="62">
        <v>186.76</v>
      </c>
      <c r="D16" s="9">
        <v>971.15</v>
      </c>
    </row>
    <row r="17">
      <c r="A17" s="60">
        <v>45867.0</v>
      </c>
      <c r="B17" s="61">
        <v>0.0</v>
      </c>
      <c r="C17" s="62">
        <v>182.15</v>
      </c>
      <c r="D17" s="9">
        <v>0.0</v>
      </c>
    </row>
    <row r="18">
      <c r="A18" s="60">
        <v>45868.0</v>
      </c>
      <c r="B18" s="61">
        <v>9.9</v>
      </c>
      <c r="C18" s="62">
        <v>176.53</v>
      </c>
      <c r="D18" s="9">
        <v>1747.65</v>
      </c>
    </row>
    <row r="19">
      <c r="A19" s="60">
        <v>45869.0</v>
      </c>
      <c r="B19" s="61">
        <v>2.1</v>
      </c>
      <c r="C19" s="62">
        <v>175.51</v>
      </c>
      <c r="D19" s="9">
        <v>368.57</v>
      </c>
    </row>
    <row r="20">
      <c r="A20" s="63">
        <v>45870.0</v>
      </c>
      <c r="B20" s="61">
        <v>0.0</v>
      </c>
      <c r="C20" s="62">
        <v>163.34</v>
      </c>
      <c r="D20" s="9">
        <v>0.0</v>
      </c>
    </row>
    <row r="21">
      <c r="A21" s="63">
        <v>45873.0</v>
      </c>
      <c r="B21" s="61">
        <v>0.0</v>
      </c>
      <c r="C21" s="62">
        <v>166.69</v>
      </c>
      <c r="D21" s="9">
        <v>0.0</v>
      </c>
    </row>
    <row r="22">
      <c r="A22" s="63">
        <v>45874.0</v>
      </c>
      <c r="B22" s="61">
        <v>0.0</v>
      </c>
      <c r="C22" s="62">
        <v>165.62</v>
      </c>
      <c r="D22" s="9">
        <v>0.0</v>
      </c>
    </row>
    <row r="23">
      <c r="A23" s="63">
        <v>45875.0</v>
      </c>
      <c r="B23" s="61">
        <v>-2.7</v>
      </c>
      <c r="C23" s="62">
        <v>166.4</v>
      </c>
      <c r="D23" s="9">
        <v>-449.28</v>
      </c>
    </row>
    <row r="24">
      <c r="A24" s="63">
        <v>45876.0</v>
      </c>
      <c r="B24" s="61">
        <v>0.0</v>
      </c>
      <c r="C24" s="62">
        <v>172.34</v>
      </c>
      <c r="D24" s="9">
        <v>0.0</v>
      </c>
    </row>
    <row r="25">
      <c r="A25" s="63">
        <v>45877.0</v>
      </c>
      <c r="B25" s="61">
        <v>6.4</v>
      </c>
      <c r="C25" s="62">
        <v>176.6</v>
      </c>
      <c r="D25" s="9">
        <v>1130.24</v>
      </c>
    </row>
    <row r="26">
      <c r="A26" s="60">
        <v>45880.0</v>
      </c>
      <c r="B26" s="61">
        <v>0.0</v>
      </c>
      <c r="C26" s="62">
        <v>178.34</v>
      </c>
      <c r="D26" s="9">
        <v>0.0</v>
      </c>
    </row>
    <row r="27">
      <c r="A27" s="60">
        <v>45881.0</v>
      </c>
      <c r="B27" s="61">
        <v>5.2</v>
      </c>
      <c r="C27" s="62">
        <v>186.14</v>
      </c>
      <c r="D27" s="9">
        <v>967.93</v>
      </c>
    </row>
    <row r="28">
      <c r="A28" s="64">
        <v>45882.0</v>
      </c>
      <c r="B28" s="65">
        <v>0.0</v>
      </c>
      <c r="C28" s="65">
        <v>199.01</v>
      </c>
      <c r="D28" s="48">
        <v>0.0</v>
      </c>
      <c r="E28" s="49"/>
      <c r="F28" s="49"/>
      <c r="G28" s="49"/>
      <c r="H28" s="49"/>
      <c r="I28" s="48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66">
        <v>45883.0</v>
      </c>
      <c r="B29" s="67">
        <v>13.0</v>
      </c>
      <c r="C29" s="67">
        <v>196.21</v>
      </c>
      <c r="D29" s="9">
        <v>2550.73</v>
      </c>
    </row>
    <row r="30">
      <c r="A30" s="64">
        <v>45884.0</v>
      </c>
      <c r="B30" s="65">
        <v>7.4</v>
      </c>
      <c r="C30" s="65">
        <v>188.88</v>
      </c>
      <c r="D30" s="9">
        <v>1397.71</v>
      </c>
    </row>
    <row r="31">
      <c r="A31" s="68">
        <v>45887.0</v>
      </c>
      <c r="B31" s="62">
        <v>-2.2</v>
      </c>
      <c r="C31" s="62">
        <v>184.75</v>
      </c>
      <c r="D31" s="9">
        <v>-406.45</v>
      </c>
    </row>
    <row r="32">
      <c r="A32" s="69">
        <v>45888.0</v>
      </c>
      <c r="B32" s="62">
        <v>0.0</v>
      </c>
      <c r="C32" s="70"/>
      <c r="D32" s="9">
        <v>0.0</v>
      </c>
    </row>
    <row r="33">
      <c r="A33" s="71">
        <v>45889.0</v>
      </c>
      <c r="B33" s="62">
        <v>-2.2</v>
      </c>
      <c r="C33" s="62">
        <v>184.0</v>
      </c>
      <c r="D33" s="9">
        <v>-404.8</v>
      </c>
    </row>
    <row r="34">
      <c r="A34" s="71">
        <v>45890.0</v>
      </c>
      <c r="B34" s="62">
        <v>-2.9</v>
      </c>
      <c r="C34" s="62">
        <v>183.25</v>
      </c>
      <c r="D34" s="9">
        <v>-531.42</v>
      </c>
    </row>
    <row r="35">
      <c r="A35" s="7">
        <v>45891.0</v>
      </c>
      <c r="B35" s="9">
        <v>3.8</v>
      </c>
      <c r="C35" s="9">
        <v>193.5</v>
      </c>
      <c r="D35" s="9">
        <v>735.3</v>
      </c>
    </row>
    <row r="36">
      <c r="A36" s="7">
        <v>45894.0</v>
      </c>
      <c r="B36" s="9">
        <v>-1.5</v>
      </c>
      <c r="C36" s="9">
        <v>195.3</v>
      </c>
      <c r="D36" s="9">
        <v>-292.95</v>
      </c>
    </row>
    <row r="37">
      <c r="A37" s="7">
        <v>45895.0</v>
      </c>
      <c r="B37" s="9">
        <v>0.0</v>
      </c>
      <c r="C37" s="9">
        <v>193.2</v>
      </c>
      <c r="D37" s="9">
        <v>0.0</v>
      </c>
    </row>
    <row r="38">
      <c r="A38" s="7">
        <v>45896.0</v>
      </c>
      <c r="B38" s="9">
        <v>1.6</v>
      </c>
      <c r="C38" s="9">
        <v>203.0</v>
      </c>
      <c r="D38" s="9">
        <v>324.8</v>
      </c>
    </row>
    <row r="39">
      <c r="A39" s="7">
        <v>45897.0</v>
      </c>
      <c r="B39" s="9">
        <v>11.3</v>
      </c>
      <c r="C39" s="9">
        <v>211.0</v>
      </c>
      <c r="D39" s="9">
        <v>2384.3</v>
      </c>
    </row>
    <row r="40">
      <c r="A40" s="7">
        <v>45898.0</v>
      </c>
      <c r="B40" s="9">
        <v>15.8</v>
      </c>
      <c r="C40" s="9">
        <v>207.6</v>
      </c>
      <c r="D40" s="9">
        <v>3280.0</v>
      </c>
    </row>
    <row r="41">
      <c r="A41" s="7">
        <v>45902.0</v>
      </c>
      <c r="B41" s="9">
        <v>0.0</v>
      </c>
      <c r="C41" s="9">
        <v>205.4</v>
      </c>
      <c r="D41" s="9">
        <v>0.0</v>
      </c>
    </row>
    <row r="42">
      <c r="A42" s="7">
        <v>45903.0</v>
      </c>
      <c r="B42" s="9">
        <v>0.0</v>
      </c>
      <c r="C42" s="9">
        <v>210.43</v>
      </c>
      <c r="D42" s="9">
        <v>0.0</v>
      </c>
    </row>
    <row r="43">
      <c r="A43" s="7">
        <v>45904.0</v>
      </c>
      <c r="B43" s="9">
        <v>3.1</v>
      </c>
      <c r="C43" s="9">
        <v>205.4</v>
      </c>
      <c r="D43" s="9">
        <v>636.74</v>
      </c>
    </row>
    <row r="44">
      <c r="A44" s="7">
        <v>45905.0</v>
      </c>
      <c r="B44" s="9">
        <v>1.6</v>
      </c>
      <c r="C44" s="9">
        <v>204.7</v>
      </c>
      <c r="D44" s="9">
        <v>327.55</v>
      </c>
    </row>
    <row r="45">
      <c r="A45" s="7">
        <v>45908.0</v>
      </c>
      <c r="B45" s="9">
        <v>0.0</v>
      </c>
      <c r="C45" s="8" t="s">
        <v>131</v>
      </c>
      <c r="D45" s="9">
        <v>0.0</v>
      </c>
    </row>
    <row r="46">
      <c r="A46" s="7">
        <v>45909.0</v>
      </c>
      <c r="B46" s="9">
        <v>0.0</v>
      </c>
      <c r="C46" s="8" t="s">
        <v>132</v>
      </c>
      <c r="D46" s="9">
        <v>0.0</v>
      </c>
    </row>
    <row r="47">
      <c r="A47" s="7">
        <v>45910.0</v>
      </c>
      <c r="B47" s="9">
        <v>3.4</v>
      </c>
      <c r="C47" s="9">
        <v>221.72</v>
      </c>
      <c r="D47" s="9">
        <v>753.84</v>
      </c>
    </row>
    <row r="48">
      <c r="A48" s="7">
        <v>45911.0</v>
      </c>
      <c r="B48" s="9">
        <v>7.0</v>
      </c>
      <c r="C48" s="9">
        <v>226.5</v>
      </c>
      <c r="D48" s="9">
        <v>1585.5</v>
      </c>
    </row>
    <row r="49">
      <c r="A49" s="7">
        <v>45912.0</v>
      </c>
      <c r="B49" s="9">
        <v>5.5</v>
      </c>
      <c r="C49" s="9">
        <v>238.1</v>
      </c>
      <c r="D49" s="9">
        <v>1309.5</v>
      </c>
    </row>
    <row r="50">
      <c r="A50" s="7">
        <v>45915.0</v>
      </c>
      <c r="B50" s="9">
        <v>9.0</v>
      </c>
      <c r="C50" s="9">
        <v>236.16</v>
      </c>
      <c r="D50" s="9">
        <v>2125.44</v>
      </c>
    </row>
    <row r="51">
      <c r="A51" s="7">
        <v>45916.0</v>
      </c>
      <c r="B51" s="9">
        <v>10.0</v>
      </c>
      <c r="C51" s="9">
        <v>236.4</v>
      </c>
      <c r="D51" s="9">
        <v>2364.0</v>
      </c>
    </row>
    <row r="52">
      <c r="A52" s="7">
        <v>45917.0</v>
      </c>
      <c r="B52" s="9">
        <v>0.0</v>
      </c>
      <c r="C52" s="9">
        <v>241.24</v>
      </c>
      <c r="D52" s="9">
        <v>0.0</v>
      </c>
    </row>
    <row r="53">
      <c r="A53" s="7">
        <v>45918.0</v>
      </c>
      <c r="B53" s="9">
        <v>19.1</v>
      </c>
      <c r="C53" s="9">
        <v>247.85</v>
      </c>
      <c r="D53" s="9">
        <v>4734.0</v>
      </c>
    </row>
    <row r="54">
      <c r="A54" s="7">
        <v>45919.0</v>
      </c>
      <c r="B54" s="9">
        <v>0.0</v>
      </c>
      <c r="C54" s="9">
        <v>240.73</v>
      </c>
      <c r="D54" s="9">
        <v>0.0</v>
      </c>
    </row>
    <row r="55">
      <c r="A55" s="7">
        <v>45922.0</v>
      </c>
      <c r="B55" s="9">
        <v>27.0</v>
      </c>
      <c r="C55" s="9">
        <v>224.0</v>
      </c>
      <c r="D55" s="9">
        <v>6048.0</v>
      </c>
    </row>
    <row r="56">
      <c r="A56" s="7">
        <v>45923.0</v>
      </c>
      <c r="B56" s="9">
        <v>2.5</v>
      </c>
      <c r="C56" s="9">
        <v>215.8</v>
      </c>
      <c r="D56" s="9">
        <v>539.5</v>
      </c>
    </row>
    <row r="57">
      <c r="A57" s="7">
        <v>45924.0</v>
      </c>
      <c r="B57" s="9">
        <v>3.3</v>
      </c>
      <c r="C57" s="9">
        <v>211.0</v>
      </c>
      <c r="D57" s="9">
        <v>696.3</v>
      </c>
    </row>
    <row r="58">
      <c r="A58" s="7">
        <v>45925.0</v>
      </c>
      <c r="B58" s="8">
        <v>16.2</v>
      </c>
      <c r="C58" s="9">
        <v>198.8</v>
      </c>
      <c r="D58" s="9">
        <v>3220.56</v>
      </c>
    </row>
    <row r="59">
      <c r="A59" s="7">
        <v>45926.0</v>
      </c>
      <c r="B59" s="9">
        <v>10.6</v>
      </c>
      <c r="C59" s="9">
        <v>200.5</v>
      </c>
      <c r="D59" s="9">
        <v>2125.3</v>
      </c>
    </row>
    <row r="60">
      <c r="A60" s="7">
        <v>45929.0</v>
      </c>
      <c r="B60" s="9">
        <v>3.2</v>
      </c>
      <c r="C60" s="9">
        <v>210.7</v>
      </c>
      <c r="D60" s="9">
        <v>674.24</v>
      </c>
    </row>
    <row r="61">
      <c r="A61" s="7">
        <v>45930.0</v>
      </c>
      <c r="B61" s="9">
        <v>18.3</v>
      </c>
      <c r="C61" s="9">
        <v>209.85</v>
      </c>
      <c r="D61" s="9">
        <v>3839.26</v>
      </c>
    </row>
    <row r="62">
      <c r="A62" s="7">
        <v>45931.0</v>
      </c>
      <c r="B62" s="9">
        <v>13.4</v>
      </c>
      <c r="C62" s="9">
        <v>214.9</v>
      </c>
      <c r="D62" s="9">
        <v>2879.66</v>
      </c>
    </row>
    <row r="63">
      <c r="A63" s="7">
        <v>45932.0</v>
      </c>
      <c r="B63" s="9">
        <v>0.0</v>
      </c>
      <c r="C63" s="9">
        <v>227.85</v>
      </c>
      <c r="D63" s="9">
        <v>0.0</v>
      </c>
    </row>
    <row r="64">
      <c r="A64" s="7">
        <v>45933.0</v>
      </c>
      <c r="B64" s="9">
        <v>0.0</v>
      </c>
      <c r="C64" s="9">
        <v>233.0</v>
      </c>
      <c r="D64" s="9">
        <v>0.0</v>
      </c>
    </row>
    <row r="65">
      <c r="A65" s="7">
        <v>45936.0</v>
      </c>
      <c r="B65" s="9">
        <v>2.7</v>
      </c>
      <c r="C65" s="9">
        <v>231.57</v>
      </c>
      <c r="D65" s="14">
        <f t="shared" ref="D65:D66" si="2">B65*C65</f>
        <v>625.239</v>
      </c>
    </row>
    <row r="66">
      <c r="A66" s="7">
        <v>45937.0</v>
      </c>
      <c r="B66" s="9">
        <v>14.6</v>
      </c>
      <c r="C66" s="9">
        <v>226.81</v>
      </c>
      <c r="D66" s="14">
        <f t="shared" si="2"/>
        <v>3311.426</v>
      </c>
    </row>
    <row r="67">
      <c r="A67" s="7">
        <v>45938.0</v>
      </c>
      <c r="B67" s="9">
        <v>6.1</v>
      </c>
      <c r="C67" s="9">
        <v>224.0</v>
      </c>
      <c r="D67" s="14">
        <f>6.1*224</f>
        <v>1366.4</v>
      </c>
    </row>
    <row r="68">
      <c r="A68" s="7">
        <v>45939.0</v>
      </c>
      <c r="B68" s="9">
        <v>0.0</v>
      </c>
      <c r="C68" s="9">
        <v>224.0</v>
      </c>
      <c r="D68" s="9">
        <v>0.0</v>
      </c>
    </row>
    <row r="69">
      <c r="A69" s="7">
        <v>45940.0</v>
      </c>
      <c r="B69" s="9">
        <v>5.6</v>
      </c>
      <c r="C69" s="9">
        <v>200.65</v>
      </c>
      <c r="D69" s="14">
        <f t="shared" ref="D69:D96" si="3">B69*C69</f>
        <v>1123.64</v>
      </c>
    </row>
    <row r="70">
      <c r="A70" s="7">
        <v>45943.0</v>
      </c>
      <c r="B70" s="9">
        <v>3.1</v>
      </c>
      <c r="C70" s="9">
        <v>201.25</v>
      </c>
      <c r="D70" s="14">
        <f t="shared" si="3"/>
        <v>623.875</v>
      </c>
    </row>
    <row r="71">
      <c r="A71" s="7">
        <v>45944.0</v>
      </c>
      <c r="B71" s="9">
        <v>-12.3</v>
      </c>
      <c r="C71" s="9">
        <v>203.35</v>
      </c>
      <c r="D71" s="14">
        <f t="shared" si="3"/>
        <v>-2501.205</v>
      </c>
    </row>
    <row r="72">
      <c r="A72" s="7">
        <v>45945.0</v>
      </c>
      <c r="B72" s="9">
        <v>15.1</v>
      </c>
      <c r="C72" s="9">
        <v>198.26</v>
      </c>
      <c r="D72" s="14">
        <f t="shared" si="3"/>
        <v>2993.726</v>
      </c>
    </row>
    <row r="73">
      <c r="A73" s="7">
        <v>45946.0</v>
      </c>
      <c r="B73" s="9">
        <v>-2.9</v>
      </c>
      <c r="C73" s="9">
        <v>188.43</v>
      </c>
      <c r="D73" s="14">
        <f t="shared" si="3"/>
        <v>-546.447</v>
      </c>
    </row>
    <row r="74">
      <c r="A74" s="7">
        <v>45947.0</v>
      </c>
      <c r="B74" s="9">
        <v>11.1</v>
      </c>
      <c r="C74" s="9">
        <v>181.19</v>
      </c>
      <c r="D74" s="14">
        <f t="shared" si="3"/>
        <v>2011.209</v>
      </c>
    </row>
    <row r="75">
      <c r="A75" s="7">
        <v>45950.0</v>
      </c>
      <c r="B75" s="9">
        <v>27.0</v>
      </c>
      <c r="C75" s="9">
        <v>189.34</v>
      </c>
      <c r="D75" s="14">
        <f t="shared" si="3"/>
        <v>5112.18</v>
      </c>
    </row>
    <row r="76">
      <c r="A76" s="7">
        <v>45951.0</v>
      </c>
      <c r="B76" s="9">
        <v>-4.5</v>
      </c>
      <c r="C76" s="9">
        <v>188.69</v>
      </c>
      <c r="D76" s="14">
        <f t="shared" si="3"/>
        <v>-849.105</v>
      </c>
    </row>
    <row r="77">
      <c r="A77" s="7">
        <v>45952.0</v>
      </c>
      <c r="B77" s="9">
        <v>0.0</v>
      </c>
      <c r="C77" s="9">
        <v>181.54</v>
      </c>
      <c r="D77" s="14">
        <f t="shared" si="3"/>
        <v>0</v>
      </c>
    </row>
    <row r="78">
      <c r="A78" s="7">
        <v>45953.0</v>
      </c>
      <c r="B78" s="9">
        <v>2.9</v>
      </c>
      <c r="C78" s="9">
        <v>188.16</v>
      </c>
      <c r="D78" s="14">
        <f t="shared" si="3"/>
        <v>545.664</v>
      </c>
    </row>
    <row r="79">
      <c r="A79" s="7">
        <v>45954.0</v>
      </c>
      <c r="B79" s="9">
        <v>1.5</v>
      </c>
      <c r="C79" s="9">
        <v>193.14</v>
      </c>
      <c r="D79" s="14">
        <f t="shared" si="3"/>
        <v>289.71</v>
      </c>
    </row>
    <row r="80">
      <c r="A80" s="7">
        <v>45957.0</v>
      </c>
      <c r="B80" s="9">
        <v>0.0</v>
      </c>
      <c r="C80" s="9">
        <v>197.65</v>
      </c>
      <c r="D80" s="14">
        <f t="shared" si="3"/>
        <v>0</v>
      </c>
    </row>
    <row r="81">
      <c r="A81" s="7">
        <v>45958.0</v>
      </c>
      <c r="B81" s="9">
        <v>69.5</v>
      </c>
      <c r="C81" s="9">
        <v>196.12</v>
      </c>
      <c r="D81" s="14">
        <f t="shared" si="3"/>
        <v>13630.34</v>
      </c>
    </row>
    <row r="82">
      <c r="A82" s="7">
        <v>45959.0</v>
      </c>
      <c r="B82" s="9">
        <v>47.9</v>
      </c>
      <c r="C82" s="9">
        <v>195.54</v>
      </c>
      <c r="D82" s="14">
        <f t="shared" si="3"/>
        <v>9366.366</v>
      </c>
    </row>
    <row r="83">
      <c r="A83" s="7">
        <v>45960.0</v>
      </c>
      <c r="B83" s="9">
        <v>37.3</v>
      </c>
      <c r="C83" s="9">
        <v>187.18</v>
      </c>
      <c r="D83" s="14">
        <f t="shared" si="3"/>
        <v>6981.814</v>
      </c>
    </row>
    <row r="84">
      <c r="A84" s="7">
        <v>45961.0</v>
      </c>
      <c r="B84" s="9">
        <v>44.5</v>
      </c>
      <c r="C84" s="9">
        <v>187.06</v>
      </c>
      <c r="D84" s="14">
        <f t="shared" si="3"/>
        <v>8324.17</v>
      </c>
    </row>
    <row r="85">
      <c r="A85" s="7">
        <v>45964.0</v>
      </c>
      <c r="B85" s="9">
        <v>70.1</v>
      </c>
      <c r="C85" s="9">
        <v>172.78</v>
      </c>
      <c r="D85" s="14">
        <f t="shared" si="3"/>
        <v>12111.878</v>
      </c>
    </row>
    <row r="86">
      <c r="A86" s="7">
        <v>45965.0</v>
      </c>
      <c r="B86" s="9">
        <v>14.9</v>
      </c>
      <c r="C86" s="9">
        <v>156.43</v>
      </c>
      <c r="D86" s="14">
        <f t="shared" si="3"/>
        <v>2330.807</v>
      </c>
    </row>
    <row r="87">
      <c r="A87" s="7">
        <v>45966.0</v>
      </c>
      <c r="B87" s="9">
        <v>9.7</v>
      </c>
      <c r="C87" s="9">
        <v>157.88</v>
      </c>
      <c r="D87" s="14">
        <f t="shared" si="3"/>
        <v>1531.436</v>
      </c>
    </row>
    <row r="88">
      <c r="A88" s="7">
        <v>45967.0</v>
      </c>
      <c r="B88" s="9">
        <v>29.2</v>
      </c>
      <c r="C88" s="9">
        <v>157.21</v>
      </c>
      <c r="D88" s="14">
        <f t="shared" si="3"/>
        <v>4590.532</v>
      </c>
    </row>
    <row r="89">
      <c r="A89" s="7">
        <v>45968.0</v>
      </c>
      <c r="B89" s="9">
        <v>12.7</v>
      </c>
      <c r="C89" s="9">
        <v>158.7</v>
      </c>
      <c r="D89" s="14">
        <f t="shared" si="3"/>
        <v>2015.49</v>
      </c>
    </row>
    <row r="90">
      <c r="A90" s="7">
        <v>45971.0</v>
      </c>
      <c r="B90" s="9">
        <v>6.8</v>
      </c>
      <c r="C90" s="9">
        <v>167.07</v>
      </c>
      <c r="D90" s="14">
        <f t="shared" si="3"/>
        <v>1136.076</v>
      </c>
    </row>
    <row r="91">
      <c r="A91" s="7">
        <v>45972.0</v>
      </c>
      <c r="B91" s="9">
        <v>8.0</v>
      </c>
      <c r="C91" s="9">
        <v>160.17</v>
      </c>
      <c r="D91" s="14">
        <f t="shared" si="3"/>
        <v>1281.36</v>
      </c>
    </row>
    <row r="92">
      <c r="A92" s="7">
        <v>45973.0</v>
      </c>
      <c r="B92" s="9">
        <v>18.1</v>
      </c>
      <c r="C92" s="9">
        <v>155.25</v>
      </c>
      <c r="D92" s="14">
        <f t="shared" si="3"/>
        <v>2810.025</v>
      </c>
    </row>
    <row r="93">
      <c r="A93" s="7">
        <v>45974.0</v>
      </c>
      <c r="B93" s="9">
        <v>1.5</v>
      </c>
      <c r="C93" s="9">
        <v>147.66</v>
      </c>
      <c r="D93" s="14">
        <f t="shared" si="3"/>
        <v>221.49</v>
      </c>
    </row>
    <row r="94">
      <c r="A94" s="7">
        <v>45975.0</v>
      </c>
      <c r="B94" s="9">
        <v>12.0</v>
      </c>
      <c r="C94" s="9">
        <v>140.12</v>
      </c>
      <c r="D94" s="14">
        <f t="shared" si="3"/>
        <v>1681.44</v>
      </c>
    </row>
    <row r="95">
      <c r="A95" s="7">
        <v>45978.0</v>
      </c>
      <c r="B95" s="9">
        <v>7.3</v>
      </c>
      <c r="C95" s="9">
        <v>134.36</v>
      </c>
      <c r="D95" s="14">
        <f t="shared" si="3"/>
        <v>980.828</v>
      </c>
    </row>
    <row r="96">
      <c r="A96" s="7">
        <v>45979.0</v>
      </c>
      <c r="B96" s="9">
        <v>23.0</v>
      </c>
      <c r="C96" s="9">
        <v>137.29</v>
      </c>
      <c r="D96" s="14">
        <f t="shared" si="3"/>
        <v>3157.67</v>
      </c>
    </row>
    <row r="97">
      <c r="B97" s="14">
        <f>SUM(B2:B96)</f>
        <v>826.7</v>
      </c>
      <c r="D97" s="14">
        <f>SUM(D2:D96)</f>
        <v>153920.721</v>
      </c>
    </row>
    <row r="99" ht="19.5" customHeight="1"/>
    <row r="100" ht="18.75" customHeight="1">
      <c r="A100" s="16"/>
      <c r="B100" s="44"/>
      <c r="C100" s="45"/>
      <c r="D100" s="18"/>
    </row>
    <row r="101">
      <c r="A101" s="20"/>
      <c r="B101" s="46"/>
      <c r="C101" s="45"/>
      <c r="D101" s="47"/>
    </row>
    <row r="102">
      <c r="B102" s="46"/>
      <c r="C102" s="18"/>
      <c r="D102" s="47"/>
    </row>
    <row r="103">
      <c r="A103" s="20"/>
      <c r="B103" s="46"/>
      <c r="C103" s="45"/>
      <c r="D103" s="47"/>
    </row>
    <row r="104">
      <c r="B104" s="46"/>
      <c r="C104" s="18"/>
      <c r="D104" s="47"/>
    </row>
    <row r="105">
      <c r="A105" s="20"/>
      <c r="B105" s="46"/>
      <c r="C105" s="45"/>
      <c r="D105" s="47"/>
    </row>
    <row r="106">
      <c r="B106" s="46"/>
      <c r="C106" s="18"/>
      <c r="D106" s="47"/>
    </row>
    <row r="107">
      <c r="B107" s="47"/>
      <c r="C107" s="23"/>
      <c r="D107" s="50"/>
    </row>
    <row r="108">
      <c r="B108" s="46"/>
      <c r="C108" s="18"/>
      <c r="D108" s="47"/>
    </row>
    <row r="109">
      <c r="B109" s="46"/>
      <c r="C109" s="18"/>
      <c r="D109" s="47"/>
    </row>
    <row r="110">
      <c r="B110" s="51" t="s">
        <v>133</v>
      </c>
      <c r="C110" s="33" t="s">
        <v>65</v>
      </c>
      <c r="D110" s="52" t="s">
        <v>66</v>
      </c>
    </row>
    <row r="111">
      <c r="B111" s="52" t="s">
        <v>134</v>
      </c>
      <c r="C111" s="72">
        <f>B97</f>
        <v>826.7</v>
      </c>
      <c r="D111" s="53">
        <f>D97/B97</f>
        <v>186.186913</v>
      </c>
    </row>
    <row r="112">
      <c r="B112" s="36"/>
      <c r="C112" s="19"/>
      <c r="D112" s="54"/>
    </row>
    <row r="113">
      <c r="B113" s="33" t="s">
        <v>68</v>
      </c>
      <c r="C113" s="72">
        <f>SUM(B92:B96)</f>
        <v>61.9</v>
      </c>
      <c r="D113" s="56">
        <f>SUM(D92:D96)/C113</f>
        <v>142.9960097</v>
      </c>
    </row>
    <row r="114">
      <c r="B114" s="36"/>
      <c r="C114" s="36"/>
      <c r="D114" s="54"/>
    </row>
    <row r="115">
      <c r="B115" s="33" t="s">
        <v>69</v>
      </c>
      <c r="C115" s="72">
        <f>SUM(B77:B96)</f>
        <v>416.9</v>
      </c>
      <c r="D115" s="56">
        <f>SUM(D77:D96)/C115</f>
        <v>175.0709906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75"/>
    <col customWidth="1" min="5" max="5" width="14.63"/>
    <col customWidth="1" min="6" max="6" width="11.25"/>
    <col customWidth="1" min="7" max="7" width="11.5"/>
    <col customWidth="1" min="8" max="8" width="13.75"/>
    <col customWidth="1" min="9" max="9" width="18.25"/>
    <col customWidth="1" min="10" max="10" width="21.63"/>
  </cols>
  <sheetData>
    <row r="1">
      <c r="A1" s="59" t="s">
        <v>0</v>
      </c>
      <c r="B1" s="59" t="s">
        <v>135</v>
      </c>
      <c r="C1" s="59" t="s">
        <v>136</v>
      </c>
      <c r="D1" s="59" t="s">
        <v>137</v>
      </c>
      <c r="E1" s="73" t="s">
        <v>138</v>
      </c>
      <c r="F1" s="73" t="s">
        <v>139</v>
      </c>
      <c r="G1" s="73" t="s">
        <v>140</v>
      </c>
      <c r="H1" s="73" t="s">
        <v>141</v>
      </c>
      <c r="I1" s="74" t="s">
        <v>142</v>
      </c>
      <c r="J1" s="74" t="s">
        <v>143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7">
        <v>45902.0</v>
      </c>
      <c r="B2" s="9">
        <v>-194.0</v>
      </c>
      <c r="C2" s="9">
        <v>8160.0</v>
      </c>
      <c r="D2" s="9">
        <f>10.15*3</f>
        <v>30.45</v>
      </c>
      <c r="E2" s="9">
        <f>9.63*3</f>
        <v>28.89</v>
      </c>
      <c r="F2" s="9">
        <f>3.17*3</f>
        <v>9.51</v>
      </c>
      <c r="G2" s="9">
        <f>-0.75*3</f>
        <v>-2.25</v>
      </c>
      <c r="H2" s="9">
        <v>0.0</v>
      </c>
      <c r="I2" s="14">
        <f t="shared" ref="I2:I56" si="1">SUM(B2:G2)</f>
        <v>8032.6</v>
      </c>
      <c r="J2" s="9">
        <v>0.0</v>
      </c>
    </row>
    <row r="3">
      <c r="A3" s="7">
        <v>45903.0</v>
      </c>
      <c r="B3" s="9">
        <v>1320.0</v>
      </c>
      <c r="C3" s="9">
        <v>-3750.0</v>
      </c>
      <c r="D3" s="9">
        <v>0.0</v>
      </c>
      <c r="E3" s="9">
        <f>18.88*3</f>
        <v>56.64</v>
      </c>
      <c r="F3" s="9">
        <f>1.72*3</f>
        <v>5.16</v>
      </c>
      <c r="G3" s="9">
        <f>-1.54*3</f>
        <v>-4.62</v>
      </c>
      <c r="H3" s="9">
        <v>0.0</v>
      </c>
      <c r="I3" s="14">
        <f t="shared" si="1"/>
        <v>-2372.82</v>
      </c>
      <c r="J3" s="9">
        <v>0.0</v>
      </c>
    </row>
    <row r="4">
      <c r="A4" s="7">
        <v>45904.0</v>
      </c>
      <c r="B4" s="9">
        <v>226.0</v>
      </c>
      <c r="C4" s="9">
        <v>-2350.0</v>
      </c>
      <c r="D4" s="9">
        <v>30.3</v>
      </c>
      <c r="E4" s="9">
        <v>0.0</v>
      </c>
      <c r="F4" s="9">
        <f>-1.06*3</f>
        <v>-3.18</v>
      </c>
      <c r="G4" s="9">
        <f>-35.64*3</f>
        <v>-106.92</v>
      </c>
      <c r="H4" s="9">
        <v>0.0</v>
      </c>
      <c r="I4" s="14">
        <f t="shared" si="1"/>
        <v>-2203.8</v>
      </c>
      <c r="J4" s="9">
        <v>0.0</v>
      </c>
    </row>
    <row r="5">
      <c r="A5" s="7">
        <v>45905.0</v>
      </c>
      <c r="B5" s="9">
        <v>-554.0</v>
      </c>
      <c r="C5" s="9">
        <v>-4120.0</v>
      </c>
      <c r="D5" s="9">
        <f>-165.46*3</f>
        <v>-496.38</v>
      </c>
      <c r="E5" s="9">
        <f>-58.92*3</f>
        <v>-176.76</v>
      </c>
      <c r="F5" s="9">
        <f>-3.11*3</f>
        <v>-9.33</v>
      </c>
      <c r="G5" s="9">
        <f>10.35*3</f>
        <v>31.05</v>
      </c>
      <c r="H5" s="9">
        <v>0.0</v>
      </c>
      <c r="I5" s="14">
        <f t="shared" si="1"/>
        <v>-5325.42</v>
      </c>
      <c r="J5" s="9">
        <v>0.0</v>
      </c>
    </row>
    <row r="6">
      <c r="A6" s="7">
        <v>45908.0</v>
      </c>
      <c r="B6" s="9">
        <v>1690.0</v>
      </c>
      <c r="C6" s="9">
        <v>-1840.0</v>
      </c>
      <c r="D6" s="9">
        <f>-30.72*3</f>
        <v>-92.16</v>
      </c>
      <c r="E6" s="9">
        <f>-68.06*3</f>
        <v>-204.18</v>
      </c>
      <c r="F6" s="9">
        <f>2.09*3</f>
        <v>6.27</v>
      </c>
      <c r="G6" s="9">
        <f>-4.48*3</f>
        <v>-13.44</v>
      </c>
      <c r="H6" s="9">
        <v>6496.0</v>
      </c>
      <c r="I6" s="14">
        <f t="shared" si="1"/>
        <v>-453.51</v>
      </c>
      <c r="J6" s="9">
        <f t="shared" ref="J6:J25" si="2">I6*H6</f>
        <v>-2946000.96</v>
      </c>
    </row>
    <row r="7">
      <c r="A7" s="7">
        <v>45909.0</v>
      </c>
      <c r="B7" s="9">
        <v>-2510.0</v>
      </c>
      <c r="C7" s="9">
        <v>2500.0</v>
      </c>
      <c r="D7" s="9">
        <v>-15.45</v>
      </c>
      <c r="E7" s="9">
        <f>-107.59*3</f>
        <v>-322.77</v>
      </c>
      <c r="F7" s="9">
        <v>-3.12</v>
      </c>
      <c r="G7" s="9">
        <f>-1.49*3</f>
        <v>-4.47</v>
      </c>
      <c r="H7" s="9">
        <v>6500.66</v>
      </c>
      <c r="I7" s="14">
        <f t="shared" si="1"/>
        <v>-355.81</v>
      </c>
      <c r="J7" s="9">
        <f t="shared" si="2"/>
        <v>-2312999.835</v>
      </c>
    </row>
    <row r="8">
      <c r="A8" s="7">
        <v>45910.0</v>
      </c>
      <c r="B8" s="9">
        <v>-6760.0</v>
      </c>
      <c r="C8" s="9">
        <v>4520.0</v>
      </c>
      <c r="D8" s="9">
        <f>-25.96*3</f>
        <v>-77.88</v>
      </c>
      <c r="E8" s="9">
        <f>-19.72*3</f>
        <v>-59.16</v>
      </c>
      <c r="F8" s="9">
        <f>1.65*3</f>
        <v>4.95</v>
      </c>
      <c r="G8" s="9">
        <f>-27.27*3</f>
        <v>-81.81</v>
      </c>
      <c r="H8" s="9">
        <v>6536.16</v>
      </c>
      <c r="I8" s="14">
        <f t="shared" si="1"/>
        <v>-2453.9</v>
      </c>
      <c r="J8" s="9">
        <f t="shared" si="2"/>
        <v>-16039083.02</v>
      </c>
    </row>
    <row r="9">
      <c r="A9" s="7">
        <v>45911.0</v>
      </c>
      <c r="B9" s="9">
        <v>-21170.0</v>
      </c>
      <c r="C9" s="9">
        <v>-3880.0</v>
      </c>
      <c r="D9" s="9">
        <f>-31.42*3</f>
        <v>-94.26</v>
      </c>
      <c r="E9" s="9">
        <f>-69.91*3</f>
        <v>-209.73</v>
      </c>
      <c r="F9" s="9">
        <f>-1.43*3</f>
        <v>-4.29</v>
      </c>
      <c r="G9" s="9">
        <f>-26.3*3</f>
        <v>-78.9</v>
      </c>
      <c r="H9" s="9">
        <v>6569.35</v>
      </c>
      <c r="I9" s="14">
        <f t="shared" si="1"/>
        <v>-25437.18</v>
      </c>
      <c r="J9" s="9">
        <f t="shared" si="2"/>
        <v>-167105738.4</v>
      </c>
    </row>
    <row r="10">
      <c r="A10" s="75">
        <v>45912.0</v>
      </c>
      <c r="B10" s="9">
        <v>-4860.0</v>
      </c>
      <c r="C10" s="9">
        <v>-3260.0</v>
      </c>
      <c r="D10" s="9">
        <v>48.3</v>
      </c>
      <c r="E10" s="9">
        <f>-10.19*3</f>
        <v>-30.57</v>
      </c>
      <c r="F10" s="9">
        <f>-6.78*3</f>
        <v>-20.34</v>
      </c>
      <c r="G10" s="9">
        <f>-30.63*3</f>
        <v>-91.89</v>
      </c>
      <c r="H10" s="9">
        <v>6589.85</v>
      </c>
      <c r="I10" s="14">
        <f t="shared" si="1"/>
        <v>-8214.5</v>
      </c>
      <c r="J10" s="9">
        <f t="shared" si="2"/>
        <v>-54132322.83</v>
      </c>
    </row>
    <row r="11">
      <c r="A11" s="75">
        <v>45915.0</v>
      </c>
      <c r="B11" s="9">
        <v>-4560.0</v>
      </c>
      <c r="C11" s="9">
        <v>3680.0</v>
      </c>
      <c r="D11" s="9">
        <f>-5.36*3</f>
        <v>-16.08</v>
      </c>
      <c r="E11" s="9">
        <f>-30.52*3</f>
        <v>-91.56</v>
      </c>
      <c r="F11" s="9">
        <v>-9.0</v>
      </c>
      <c r="G11" s="9">
        <f>7.86*3</f>
        <v>23.58</v>
      </c>
      <c r="H11" s="9">
        <v>6610.84</v>
      </c>
      <c r="I11" s="14">
        <f t="shared" si="1"/>
        <v>-973.06</v>
      </c>
      <c r="J11" s="9">
        <f t="shared" si="2"/>
        <v>-6432743.97</v>
      </c>
    </row>
    <row r="12">
      <c r="A12" s="75">
        <v>45916.0</v>
      </c>
      <c r="B12" s="9">
        <v>-2420.0</v>
      </c>
      <c r="C12" s="9">
        <v>2380.0</v>
      </c>
      <c r="D12" s="9">
        <f>-5.43*3</f>
        <v>-16.29</v>
      </c>
      <c r="E12" s="9">
        <f>-10.32*3</f>
        <v>-30.96</v>
      </c>
      <c r="F12" s="9">
        <f>-14.98*3</f>
        <v>-44.94</v>
      </c>
      <c r="G12" s="9">
        <f>6.34*3</f>
        <v>19.02</v>
      </c>
      <c r="H12" s="9">
        <v>6613.55</v>
      </c>
      <c r="I12" s="14">
        <f t="shared" si="1"/>
        <v>-113.17</v>
      </c>
      <c r="J12" s="9">
        <f t="shared" si="2"/>
        <v>-748455.4535</v>
      </c>
    </row>
    <row r="13">
      <c r="A13" s="75">
        <v>45917.0</v>
      </c>
      <c r="B13" s="9">
        <v>2350.0</v>
      </c>
      <c r="C13" s="9">
        <v>-2410.0</v>
      </c>
      <c r="D13" s="9">
        <v>0.0</v>
      </c>
      <c r="E13" s="9">
        <f>-10.28*3</f>
        <v>-30.84</v>
      </c>
      <c r="F13" s="9">
        <f>-2.77*3</f>
        <v>-8.31</v>
      </c>
      <c r="G13" s="9">
        <f>10.61*3</f>
        <v>31.83</v>
      </c>
      <c r="H13" s="9">
        <v>6587.77</v>
      </c>
      <c r="I13" s="14">
        <f t="shared" si="1"/>
        <v>-67.32</v>
      </c>
      <c r="J13" s="9">
        <f t="shared" si="2"/>
        <v>-443488.6764</v>
      </c>
    </row>
    <row r="14">
      <c r="A14" s="75">
        <v>45918.0</v>
      </c>
      <c r="B14" s="9">
        <v>12120.0</v>
      </c>
      <c r="C14" s="9">
        <v>-11440.0</v>
      </c>
      <c r="D14" s="9">
        <v>-81.0</v>
      </c>
      <c r="E14" s="9">
        <v>0.0</v>
      </c>
      <c r="F14" s="9">
        <f>-3.77*3</f>
        <v>-11.31</v>
      </c>
      <c r="G14" s="9">
        <f>-2.13*3</f>
        <v>-6.39</v>
      </c>
      <c r="H14" s="9">
        <v>6634.35</v>
      </c>
      <c r="I14" s="14">
        <f t="shared" si="1"/>
        <v>581.3</v>
      </c>
      <c r="J14" s="9">
        <f t="shared" si="2"/>
        <v>3856547.655</v>
      </c>
    </row>
    <row r="15" ht="12.75" customHeight="1">
      <c r="A15" s="75">
        <v>45919.0</v>
      </c>
      <c r="B15" s="9">
        <v>4780.0</v>
      </c>
      <c r="C15" s="9">
        <v>-3110.0</v>
      </c>
      <c r="D15" s="9">
        <f>-5.47*3</f>
        <v>-16.41</v>
      </c>
      <c r="E15" s="9">
        <f>-10.39*3</f>
        <v>-31.17</v>
      </c>
      <c r="F15" s="9">
        <f>3.72*3</f>
        <v>11.16</v>
      </c>
      <c r="G15" s="9">
        <f>15.39*3</f>
        <v>46.17</v>
      </c>
      <c r="H15" s="9">
        <v>6651.07</v>
      </c>
      <c r="I15" s="14">
        <f t="shared" si="1"/>
        <v>1679.75</v>
      </c>
      <c r="J15" s="9">
        <f t="shared" si="2"/>
        <v>11172134.83</v>
      </c>
    </row>
    <row r="16">
      <c r="A16" s="75">
        <v>45922.0</v>
      </c>
      <c r="B16" s="9">
        <v>1030.0</v>
      </c>
      <c r="C16" s="9">
        <v>1990.0</v>
      </c>
      <c r="D16" s="9">
        <f>-27.73*3</f>
        <v>-83.19</v>
      </c>
      <c r="E16" s="76">
        <v>0.0</v>
      </c>
      <c r="F16" s="9">
        <f>-4.83*3</f>
        <v>-14.49</v>
      </c>
      <c r="G16" s="9">
        <f>-30.37*3</f>
        <v>-91.11</v>
      </c>
      <c r="H16" s="9">
        <v>6673.48</v>
      </c>
      <c r="I16" s="14">
        <f t="shared" si="1"/>
        <v>2831.21</v>
      </c>
      <c r="J16" s="9">
        <f t="shared" si="2"/>
        <v>18894023.31</v>
      </c>
    </row>
    <row r="17">
      <c r="A17" s="7">
        <v>45923.0</v>
      </c>
      <c r="B17" s="9">
        <v>4320.0</v>
      </c>
      <c r="C17" s="9">
        <v>-766.0</v>
      </c>
      <c r="D17" s="9">
        <f>101.14*3</f>
        <v>303.42</v>
      </c>
      <c r="E17" s="76">
        <v>0.0</v>
      </c>
      <c r="F17" s="9">
        <f>-8.77*3</f>
        <v>-26.31</v>
      </c>
      <c r="G17" s="9">
        <f>21.12*3</f>
        <v>63.36</v>
      </c>
      <c r="H17" s="9">
        <v>6672.55</v>
      </c>
      <c r="I17" s="14">
        <f t="shared" si="1"/>
        <v>3894.47</v>
      </c>
      <c r="J17" s="9">
        <f t="shared" si="2"/>
        <v>25986045.8</v>
      </c>
    </row>
    <row r="18">
      <c r="A18" s="7">
        <v>45924.0</v>
      </c>
      <c r="B18" s="9">
        <v>4030.0</v>
      </c>
      <c r="C18" s="9">
        <v>4040.0</v>
      </c>
      <c r="D18" s="9">
        <f>11.05*3</f>
        <v>33.15</v>
      </c>
      <c r="E18" s="76">
        <f>125.72*3</f>
        <v>377.16</v>
      </c>
      <c r="F18" s="9">
        <v>0.0</v>
      </c>
      <c r="G18" s="9">
        <f>16.63*3</f>
        <v>49.89</v>
      </c>
      <c r="H18" s="9">
        <v>6647.21</v>
      </c>
      <c r="I18" s="14">
        <f t="shared" si="1"/>
        <v>8530.2</v>
      </c>
      <c r="J18" s="9">
        <f t="shared" si="2"/>
        <v>56702030.74</v>
      </c>
      <c r="P18" s="77"/>
      <c r="Q18" s="78"/>
      <c r="R18" s="78"/>
    </row>
    <row r="19">
      <c r="A19" s="7">
        <v>45925.0</v>
      </c>
      <c r="B19" s="9">
        <v>20100.0</v>
      </c>
      <c r="C19" s="9">
        <v>5030.0</v>
      </c>
      <c r="D19" s="9">
        <v>246.0</v>
      </c>
      <c r="E19" s="76">
        <f>103.85*3</f>
        <v>311.55</v>
      </c>
      <c r="F19" s="9">
        <f>6.98*3</f>
        <v>20.94</v>
      </c>
      <c r="G19" s="9">
        <f>8.28*3</f>
        <v>24.84</v>
      </c>
      <c r="H19" s="9">
        <v>6549.11</v>
      </c>
      <c r="I19" s="14">
        <f t="shared" si="1"/>
        <v>25733.33</v>
      </c>
      <c r="J19" s="9">
        <f t="shared" si="2"/>
        <v>168530408.8</v>
      </c>
      <c r="P19" s="78"/>
      <c r="Q19" s="79"/>
      <c r="R19" s="80"/>
    </row>
    <row r="20">
      <c r="A20" s="7">
        <v>45926.0</v>
      </c>
      <c r="B20" s="9">
        <v>9400.0</v>
      </c>
      <c r="C20" s="9">
        <v>1050.0</v>
      </c>
      <c r="D20" s="9">
        <v>16.0</v>
      </c>
      <c r="E20" s="76">
        <v>0.0</v>
      </c>
      <c r="F20" s="9">
        <v>0.0</v>
      </c>
      <c r="G20" s="9">
        <f>-1.4*3</f>
        <v>-4.2</v>
      </c>
      <c r="H20" s="9">
        <v>6626.7</v>
      </c>
      <c r="I20" s="14">
        <f t="shared" si="1"/>
        <v>10461.8</v>
      </c>
      <c r="J20" s="9">
        <f t="shared" si="2"/>
        <v>69327210.06</v>
      </c>
      <c r="P20" s="81"/>
      <c r="Q20" s="81"/>
      <c r="R20" s="81"/>
    </row>
    <row r="21">
      <c r="A21" s="7">
        <v>45929.0</v>
      </c>
      <c r="B21" s="9">
        <v>2000.0</v>
      </c>
      <c r="C21" s="9">
        <v>-2450.0</v>
      </c>
      <c r="D21" s="9">
        <v>-16.0</v>
      </c>
      <c r="E21" s="76">
        <v>0.0</v>
      </c>
      <c r="F21" s="76">
        <v>15.6</v>
      </c>
      <c r="G21" s="76">
        <v>-80.5</v>
      </c>
      <c r="H21" s="9">
        <v>6660.9</v>
      </c>
      <c r="I21" s="14">
        <f t="shared" si="1"/>
        <v>-530.9</v>
      </c>
      <c r="J21" s="9">
        <f t="shared" si="2"/>
        <v>-3536271.81</v>
      </c>
      <c r="P21" s="78"/>
      <c r="Q21" s="79"/>
      <c r="R21" s="80"/>
    </row>
    <row r="22">
      <c r="A22" s="7">
        <v>45930.0</v>
      </c>
      <c r="B22" s="9">
        <v>-1400.0</v>
      </c>
      <c r="C22" s="9">
        <v>2120.0</v>
      </c>
      <c r="D22" s="9">
        <v>33.0</v>
      </c>
      <c r="E22" s="76">
        <v>-31.5</v>
      </c>
      <c r="F22" s="76">
        <v>-6.0</v>
      </c>
      <c r="G22" s="76">
        <v>-108.6</v>
      </c>
      <c r="H22" s="9">
        <v>6666.13</v>
      </c>
      <c r="I22" s="14">
        <f t="shared" si="1"/>
        <v>606.9</v>
      </c>
      <c r="J22" s="9">
        <f t="shared" si="2"/>
        <v>4045674.297</v>
      </c>
      <c r="P22" s="81"/>
      <c r="Q22" s="81"/>
      <c r="R22" s="81"/>
    </row>
    <row r="23">
      <c r="A23" s="7">
        <v>45931.0</v>
      </c>
      <c r="B23" s="9">
        <v>-435.0</v>
      </c>
      <c r="C23" s="9">
        <v>7560.0</v>
      </c>
      <c r="D23" s="9">
        <v>0.0</v>
      </c>
      <c r="E23" s="76">
        <v>0.0</v>
      </c>
      <c r="F23" s="76">
        <v>-62.7</v>
      </c>
      <c r="G23" s="76">
        <v>-50.7</v>
      </c>
      <c r="H23" s="9">
        <v>6687.34</v>
      </c>
      <c r="I23" s="14">
        <f t="shared" si="1"/>
        <v>7011.6</v>
      </c>
      <c r="J23" s="9">
        <f t="shared" si="2"/>
        <v>46888953.14</v>
      </c>
      <c r="P23" s="78"/>
      <c r="Q23" s="82"/>
      <c r="R23" s="83"/>
    </row>
    <row r="24">
      <c r="A24" s="7">
        <v>45932.0</v>
      </c>
      <c r="B24" s="9">
        <v>-34.0</v>
      </c>
      <c r="C24" s="9">
        <v>-6820.0</v>
      </c>
      <c r="D24" s="9">
        <v>-34.0</v>
      </c>
      <c r="E24" s="76">
        <v>0.0</v>
      </c>
      <c r="F24" s="76">
        <v>0.0</v>
      </c>
      <c r="G24" s="76">
        <v>94.2</v>
      </c>
      <c r="H24" s="9">
        <v>6712.58</v>
      </c>
      <c r="I24" s="14">
        <f t="shared" si="1"/>
        <v>-6793.8</v>
      </c>
      <c r="J24" s="9">
        <f t="shared" si="2"/>
        <v>-45603926</v>
      </c>
    </row>
    <row r="25">
      <c r="A25" s="7">
        <v>45933.0</v>
      </c>
      <c r="B25" s="9">
        <v>-605.0</v>
      </c>
      <c r="C25" s="9">
        <v>568.0</v>
      </c>
      <c r="D25" s="9">
        <v>-84.6</v>
      </c>
      <c r="E25" s="76">
        <v>0.0</v>
      </c>
      <c r="F25" s="76">
        <v>-5.7</v>
      </c>
      <c r="G25" s="76">
        <v>23.1</v>
      </c>
      <c r="H25" s="9">
        <v>6728.27</v>
      </c>
      <c r="I25" s="14">
        <f t="shared" si="1"/>
        <v>-104.2</v>
      </c>
      <c r="J25" s="9">
        <f t="shared" si="2"/>
        <v>-701085.734</v>
      </c>
    </row>
    <row r="26">
      <c r="A26" s="7">
        <v>45936.0</v>
      </c>
      <c r="B26" s="9">
        <v>-2200.0</v>
      </c>
      <c r="C26" s="9">
        <v>3700.0</v>
      </c>
      <c r="D26" s="9">
        <v>-609.6</v>
      </c>
      <c r="E26" s="76">
        <v>0.0</v>
      </c>
      <c r="F26" s="76">
        <v>22.5</v>
      </c>
      <c r="G26" s="76">
        <v>-28.2</v>
      </c>
      <c r="H26" s="9">
        <v>6733.65</v>
      </c>
      <c r="I26" s="14">
        <f t="shared" si="1"/>
        <v>884.7</v>
      </c>
      <c r="J26" s="14">
        <f>H26*I26</f>
        <v>5957260.155</v>
      </c>
      <c r="L26" s="84"/>
      <c r="M26" s="20"/>
      <c r="N26" s="20"/>
    </row>
    <row r="27">
      <c r="A27" s="7">
        <v>45937.0</v>
      </c>
      <c r="B27" s="9">
        <v>573.7</v>
      </c>
      <c r="C27" s="9">
        <v>-3500.0</v>
      </c>
      <c r="D27" s="14">
        <f>-11.4*3</f>
        <v>-34.2</v>
      </c>
      <c r="E27" s="76">
        <f>-238.6*3</f>
        <v>-715.8</v>
      </c>
      <c r="F27" s="76">
        <f>-5.6*3</f>
        <v>-16.8</v>
      </c>
      <c r="G27" s="76">
        <f>-29.1*3</f>
        <v>-87.3</v>
      </c>
      <c r="H27" s="9">
        <v>6727.23</v>
      </c>
      <c r="I27" s="14">
        <f t="shared" si="1"/>
        <v>-3780.4</v>
      </c>
      <c r="J27" s="14">
        <f t="shared" ref="J27:J56" si="3">I27*H27</f>
        <v>-25431620.29</v>
      </c>
      <c r="L27" s="85"/>
      <c r="M27" s="47"/>
      <c r="N27" s="86"/>
      <c r="P27" s="77"/>
      <c r="Q27" s="78"/>
      <c r="R27" s="78"/>
    </row>
    <row r="28">
      <c r="A28" s="7">
        <v>45938.0</v>
      </c>
      <c r="B28" s="9">
        <v>369.8</v>
      </c>
      <c r="C28" s="9">
        <v>4000.0</v>
      </c>
      <c r="D28" s="9">
        <v>33.9</v>
      </c>
      <c r="E28" s="76">
        <v>0.0</v>
      </c>
      <c r="F28" s="76">
        <v>0.0</v>
      </c>
      <c r="G28" s="76">
        <f>-28.8*3</f>
        <v>-86.4</v>
      </c>
      <c r="H28" s="9">
        <v>6736.87</v>
      </c>
      <c r="I28" s="14">
        <f t="shared" si="1"/>
        <v>4317.3</v>
      </c>
      <c r="J28" s="14">
        <f t="shared" si="3"/>
        <v>29085088.85</v>
      </c>
      <c r="L28" s="87"/>
      <c r="M28" s="47"/>
      <c r="N28" s="86"/>
      <c r="P28" s="78"/>
      <c r="Q28" s="79"/>
      <c r="R28" s="80"/>
    </row>
    <row r="29">
      <c r="A29" s="7">
        <v>45939.0</v>
      </c>
      <c r="B29" s="9">
        <v>-33.8</v>
      </c>
      <c r="C29" s="9">
        <v>-1700.0</v>
      </c>
      <c r="D29" s="9">
        <v>-17.1</v>
      </c>
      <c r="E29" s="76">
        <v>-32.7</v>
      </c>
      <c r="F29" s="76">
        <v>-11.1</v>
      </c>
      <c r="G29" s="76">
        <f>14.5*3</f>
        <v>43.5</v>
      </c>
      <c r="H29" s="9">
        <v>6740.87</v>
      </c>
      <c r="I29" s="14">
        <f t="shared" si="1"/>
        <v>-1751.2</v>
      </c>
      <c r="J29" s="14">
        <f t="shared" si="3"/>
        <v>-11804611.54</v>
      </c>
      <c r="L29" s="85"/>
      <c r="M29" s="47"/>
      <c r="N29" s="86"/>
      <c r="P29" s="81"/>
      <c r="Q29" s="81"/>
      <c r="R29" s="81"/>
    </row>
    <row r="30">
      <c r="A30" s="7">
        <v>45940.0</v>
      </c>
      <c r="B30" s="9">
        <v>607.0</v>
      </c>
      <c r="C30" s="9">
        <v>-1800.0</v>
      </c>
      <c r="D30" s="9">
        <v>0.0</v>
      </c>
      <c r="E30" s="76">
        <v>-32.4</v>
      </c>
      <c r="F30" s="76">
        <v>0.0</v>
      </c>
      <c r="G30" s="76">
        <f>51.1*3</f>
        <v>153.3</v>
      </c>
      <c r="H30" s="9">
        <v>6656.59</v>
      </c>
      <c r="I30" s="14">
        <f t="shared" si="1"/>
        <v>-1072.1</v>
      </c>
      <c r="J30" s="14">
        <f t="shared" si="3"/>
        <v>-7136530.139</v>
      </c>
      <c r="L30" s="87"/>
      <c r="M30" s="47"/>
      <c r="N30" s="86"/>
      <c r="P30" s="78"/>
      <c r="Q30" s="79"/>
      <c r="R30" s="80"/>
    </row>
    <row r="31">
      <c r="A31" s="7">
        <v>45943.0</v>
      </c>
      <c r="B31" s="9">
        <v>0.0</v>
      </c>
      <c r="C31" s="9">
        <v>2800.0</v>
      </c>
      <c r="D31" s="9">
        <v>47.1</v>
      </c>
      <c r="E31" s="76">
        <v>-29.7</v>
      </c>
      <c r="F31" s="76">
        <v>-90.9</v>
      </c>
      <c r="G31" s="76">
        <v>-40.8</v>
      </c>
      <c r="H31" s="43">
        <v>6644.7</v>
      </c>
      <c r="I31" s="14">
        <f t="shared" si="1"/>
        <v>2685.7</v>
      </c>
      <c r="J31" s="14">
        <f t="shared" si="3"/>
        <v>17845670.79</v>
      </c>
      <c r="L31" s="85"/>
      <c r="M31" s="47"/>
      <c r="N31" s="86"/>
      <c r="P31" s="81"/>
      <c r="Q31" s="81"/>
      <c r="R31" s="81"/>
    </row>
    <row r="32">
      <c r="A32" s="7">
        <v>45944.0</v>
      </c>
      <c r="B32" s="9">
        <v>133.3</v>
      </c>
      <c r="C32" s="9">
        <v>796.0</v>
      </c>
      <c r="D32" s="14">
        <f>-38.3*3</f>
        <v>-114.9</v>
      </c>
      <c r="E32" s="9">
        <v>0.0</v>
      </c>
      <c r="F32" s="9">
        <v>5.7</v>
      </c>
      <c r="G32" s="14">
        <f>37*3</f>
        <v>111</v>
      </c>
      <c r="H32" s="9">
        <v>6617.89</v>
      </c>
      <c r="I32" s="14">
        <f t="shared" si="1"/>
        <v>931.1</v>
      </c>
      <c r="J32" s="14">
        <f t="shared" si="3"/>
        <v>6161917.379</v>
      </c>
      <c r="L32" s="87"/>
      <c r="M32" s="47"/>
      <c r="N32" s="86"/>
      <c r="P32" s="78"/>
      <c r="Q32" s="82"/>
      <c r="R32" s="83"/>
    </row>
    <row r="33">
      <c r="A33" s="7">
        <v>45945.0</v>
      </c>
      <c r="B33" s="9">
        <v>-66.5</v>
      </c>
      <c r="C33" s="9">
        <v>-5300.0</v>
      </c>
      <c r="D33" s="9">
        <v>-32.7</v>
      </c>
      <c r="E33" s="9">
        <v>0.0</v>
      </c>
      <c r="F33" s="9">
        <v>0.0</v>
      </c>
      <c r="G33" s="9">
        <v>0.0</v>
      </c>
      <c r="H33" s="9">
        <v>6668.12</v>
      </c>
      <c r="I33" s="14">
        <f t="shared" si="1"/>
        <v>-5399.2</v>
      </c>
      <c r="J33" s="14">
        <f t="shared" si="3"/>
        <v>-36002513.5</v>
      </c>
      <c r="L33" s="87"/>
      <c r="M33" s="47"/>
      <c r="N33" s="86"/>
    </row>
    <row r="34">
      <c r="A34" s="7">
        <v>45946.0</v>
      </c>
      <c r="B34" s="9">
        <v>2600.0</v>
      </c>
      <c r="C34" s="9">
        <v>2300.0</v>
      </c>
      <c r="D34" s="9">
        <v>16.5</v>
      </c>
      <c r="E34" s="9">
        <v>0.0</v>
      </c>
      <c r="F34" s="14">
        <f>38.2*3</f>
        <v>114.6</v>
      </c>
      <c r="G34" s="9">
        <v>12.3</v>
      </c>
      <c r="H34" s="9">
        <v>6651.67</v>
      </c>
      <c r="I34" s="14">
        <f t="shared" si="1"/>
        <v>5043.4</v>
      </c>
      <c r="J34" s="14">
        <f t="shared" si="3"/>
        <v>33547032.48</v>
      </c>
      <c r="L34" s="87"/>
      <c r="M34" s="47"/>
      <c r="N34" s="86"/>
    </row>
    <row r="35">
      <c r="A35" s="7">
        <v>45947.0</v>
      </c>
      <c r="B35" s="9">
        <v>-132.8</v>
      </c>
      <c r="C35" s="9">
        <v>1800.0</v>
      </c>
      <c r="D35" s="9">
        <v>0.0</v>
      </c>
      <c r="E35" s="9">
        <v>61.5</v>
      </c>
      <c r="F35" s="9">
        <v>0.0</v>
      </c>
      <c r="G35" s="9">
        <v>2.1</v>
      </c>
      <c r="H35" s="9">
        <v>6641.32</v>
      </c>
      <c r="I35" s="14">
        <f t="shared" si="1"/>
        <v>1730.8</v>
      </c>
      <c r="J35" s="14">
        <f t="shared" si="3"/>
        <v>11494796.66</v>
      </c>
      <c r="L35" s="87"/>
      <c r="M35" s="47"/>
      <c r="N35" s="86"/>
    </row>
    <row r="36">
      <c r="A36" s="7">
        <v>45950.0</v>
      </c>
      <c r="B36" s="9">
        <v>-200.2</v>
      </c>
      <c r="C36" s="9">
        <v>2600.0</v>
      </c>
      <c r="D36" s="9">
        <v>0.0</v>
      </c>
      <c r="E36" s="14">
        <f>-20.8*3</f>
        <v>-62.4</v>
      </c>
      <c r="F36" s="9">
        <v>0.0</v>
      </c>
      <c r="G36" s="9">
        <v>11.6</v>
      </c>
      <c r="H36" s="9">
        <v>6717.2</v>
      </c>
      <c r="I36" s="14">
        <f t="shared" si="1"/>
        <v>2349</v>
      </c>
      <c r="J36" s="14">
        <f t="shared" si="3"/>
        <v>15778702.8</v>
      </c>
      <c r="L36" s="87"/>
      <c r="M36" s="47"/>
      <c r="N36" s="86"/>
    </row>
    <row r="37">
      <c r="A37" s="7">
        <v>45951.0</v>
      </c>
      <c r="B37" s="9">
        <v>1200.0</v>
      </c>
      <c r="C37" s="9">
        <v>-3300.0</v>
      </c>
      <c r="D37" s="9">
        <v>0.0</v>
      </c>
      <c r="E37" s="9">
        <v>-32.1</v>
      </c>
      <c r="F37" s="9">
        <f>-3.7*3</f>
        <v>-11.1</v>
      </c>
      <c r="G37" s="9">
        <v>0.0</v>
      </c>
      <c r="H37" s="9">
        <v>6737.09</v>
      </c>
      <c r="I37" s="14">
        <f t="shared" si="1"/>
        <v>-2143.2</v>
      </c>
      <c r="J37" s="14">
        <f t="shared" si="3"/>
        <v>-14438931.29</v>
      </c>
      <c r="L37" s="87"/>
      <c r="M37" s="47"/>
      <c r="N37" s="86"/>
    </row>
    <row r="38">
      <c r="A38" s="7">
        <v>45952.0</v>
      </c>
      <c r="B38" s="9">
        <v>-1000.0</v>
      </c>
      <c r="C38" s="9">
        <v>-1000.0</v>
      </c>
      <c r="D38" s="14">
        <f>5.7*3</f>
        <v>17.1</v>
      </c>
      <c r="E38" s="9">
        <v>0.0</v>
      </c>
      <c r="F38" s="9">
        <v>0.0</v>
      </c>
      <c r="G38" s="14">
        <f>4.6*3</f>
        <v>13.8</v>
      </c>
      <c r="H38" s="9">
        <v>6698.72</v>
      </c>
      <c r="I38" s="14">
        <f t="shared" si="1"/>
        <v>-1969.1</v>
      </c>
      <c r="J38" s="14">
        <f t="shared" si="3"/>
        <v>-13190449.55</v>
      </c>
      <c r="L38" s="87"/>
      <c r="M38" s="47"/>
      <c r="N38" s="86"/>
    </row>
    <row r="39">
      <c r="A39" s="7">
        <v>45953.0</v>
      </c>
      <c r="B39" s="9">
        <v>536.8</v>
      </c>
      <c r="C39" s="9">
        <v>4100.0</v>
      </c>
      <c r="D39" s="9">
        <v>-33.3</v>
      </c>
      <c r="E39" s="9">
        <v>0.0</v>
      </c>
      <c r="F39" s="9">
        <v>0.0</v>
      </c>
      <c r="G39" s="9">
        <v>6.8</v>
      </c>
      <c r="H39" s="9">
        <v>6724.85</v>
      </c>
      <c r="I39" s="14">
        <f t="shared" si="1"/>
        <v>4610.3</v>
      </c>
      <c r="J39" s="14">
        <f t="shared" si="3"/>
        <v>31003575.96</v>
      </c>
      <c r="L39" s="88"/>
      <c r="M39" s="89"/>
      <c r="N39" s="90"/>
      <c r="P39" s="81"/>
      <c r="Q39" s="81"/>
      <c r="R39" s="81"/>
    </row>
    <row r="40">
      <c r="A40" s="7">
        <v>45954.0</v>
      </c>
      <c r="B40" s="9">
        <v>-168.7</v>
      </c>
      <c r="C40" s="9">
        <v>-6700.0</v>
      </c>
      <c r="D40" s="9">
        <v>-33.9</v>
      </c>
      <c r="E40" s="9">
        <v>0.0</v>
      </c>
      <c r="F40" s="9">
        <v>0.0</v>
      </c>
      <c r="G40" s="14">
        <f>-35*3</f>
        <v>-105</v>
      </c>
      <c r="H40" s="9">
        <v>6789.59</v>
      </c>
      <c r="I40" s="14">
        <f t="shared" si="1"/>
        <v>-7007.6</v>
      </c>
      <c r="J40" s="14">
        <f t="shared" si="3"/>
        <v>-47578730.88</v>
      </c>
      <c r="L40" s="91"/>
      <c r="M40" s="92"/>
      <c r="N40" s="93"/>
      <c r="P40" s="78"/>
      <c r="Q40" s="82"/>
      <c r="R40" s="83"/>
    </row>
    <row r="41">
      <c r="A41" s="7">
        <v>45957.0</v>
      </c>
      <c r="B41" s="9">
        <v>-816.3</v>
      </c>
      <c r="C41" s="9">
        <v>-473.9</v>
      </c>
      <c r="D41" s="9">
        <v>0.0</v>
      </c>
      <c r="E41" s="9">
        <v>-66.0</v>
      </c>
      <c r="F41" s="9">
        <v>-5.4</v>
      </c>
      <c r="G41" s="9">
        <v>0.0</v>
      </c>
      <c r="H41" s="9">
        <v>6862.42</v>
      </c>
      <c r="I41" s="14">
        <f t="shared" si="1"/>
        <v>-1361.6</v>
      </c>
      <c r="J41" s="14">
        <f t="shared" si="3"/>
        <v>-9343871.072</v>
      </c>
      <c r="L41" s="94"/>
      <c r="M41" s="95"/>
      <c r="N41" s="96"/>
    </row>
    <row r="42">
      <c r="A42" s="7">
        <v>45958.0</v>
      </c>
      <c r="B42" s="9">
        <v>482.0</v>
      </c>
      <c r="C42" s="9">
        <v>2500.0</v>
      </c>
      <c r="D42" s="14">
        <f>318.2*3</f>
        <v>954.6</v>
      </c>
      <c r="E42" s="14">
        <f>296.3*3</f>
        <v>888.9</v>
      </c>
      <c r="F42" s="9">
        <v>-5.4</v>
      </c>
      <c r="G42" s="14">
        <f>30.4*3</f>
        <v>91.2</v>
      </c>
      <c r="H42" s="9">
        <v>6891.0</v>
      </c>
      <c r="I42" s="14">
        <f t="shared" si="1"/>
        <v>4911.3</v>
      </c>
      <c r="J42" s="14">
        <f t="shared" si="3"/>
        <v>33843768.3</v>
      </c>
      <c r="L42" s="91"/>
      <c r="M42" s="92"/>
      <c r="N42" s="93"/>
    </row>
    <row r="43">
      <c r="A43" s="7">
        <v>45959.0</v>
      </c>
      <c r="B43" s="9">
        <v>207.1</v>
      </c>
      <c r="C43" s="9">
        <v>549.5</v>
      </c>
      <c r="D43" s="9">
        <v>-90.6</v>
      </c>
      <c r="E43" s="9">
        <v>0.0</v>
      </c>
      <c r="F43" s="9">
        <v>0.0</v>
      </c>
      <c r="G43" s="9">
        <v>-9.3</v>
      </c>
      <c r="H43" s="9">
        <v>6886.13</v>
      </c>
      <c r="I43" s="14">
        <f t="shared" si="1"/>
        <v>656.7</v>
      </c>
      <c r="J43" s="14">
        <f t="shared" si="3"/>
        <v>4522121.571</v>
      </c>
      <c r="L43" s="94"/>
      <c r="M43" s="95"/>
      <c r="N43" s="96"/>
    </row>
    <row r="44">
      <c r="A44" s="7">
        <v>45960.0</v>
      </c>
      <c r="B44" s="9">
        <v>310.6</v>
      </c>
      <c r="C44" s="9">
        <v>-755.5</v>
      </c>
      <c r="D44" s="9">
        <v>-36.3</v>
      </c>
      <c r="E44" s="14">
        <f>-34.4*3</f>
        <v>-103.2</v>
      </c>
      <c r="F44" s="9">
        <v>0.0</v>
      </c>
      <c r="G44" s="14">
        <f>8.66*3</f>
        <v>25.98</v>
      </c>
      <c r="H44" s="9">
        <v>6850.72</v>
      </c>
      <c r="I44" s="14">
        <f t="shared" si="1"/>
        <v>-558.42</v>
      </c>
      <c r="J44" s="14">
        <f t="shared" si="3"/>
        <v>-3825579.062</v>
      </c>
      <c r="L44" s="88"/>
      <c r="M44" s="89"/>
      <c r="N44" s="90"/>
    </row>
    <row r="45">
      <c r="A45" s="7">
        <v>45961.0</v>
      </c>
      <c r="B45" s="9">
        <v>-410.0</v>
      </c>
      <c r="C45" s="9">
        <v>2600.0</v>
      </c>
      <c r="D45" s="14">
        <f>169.7*3</f>
        <v>509.1</v>
      </c>
      <c r="E45" s="9">
        <v>0.0</v>
      </c>
      <c r="F45" s="14">
        <f>1.8*3</f>
        <v>5.4</v>
      </c>
      <c r="G45" s="14">
        <f>14*3</f>
        <v>42</v>
      </c>
      <c r="H45" s="9">
        <v>6844.43</v>
      </c>
      <c r="I45" s="14">
        <f t="shared" si="1"/>
        <v>2746.5</v>
      </c>
      <c r="J45" s="14">
        <f t="shared" si="3"/>
        <v>18798227</v>
      </c>
      <c r="L45" s="97" t="s">
        <v>144</v>
      </c>
      <c r="M45" s="52" t="s">
        <v>65</v>
      </c>
      <c r="N45" s="98" t="s">
        <v>66</v>
      </c>
    </row>
    <row r="46">
      <c r="A46" s="7">
        <v>45964.0</v>
      </c>
      <c r="B46" s="9">
        <v>0.0</v>
      </c>
      <c r="C46" s="9">
        <v>10500.0</v>
      </c>
      <c r="D46" s="14">
        <f>-194.6*3</f>
        <v>-583.8</v>
      </c>
      <c r="E46" s="14">
        <f>-56.1*3</f>
        <v>-168.3</v>
      </c>
      <c r="F46" s="14">
        <f>-121.5</f>
        <v>-121.5</v>
      </c>
      <c r="G46" s="14">
        <f>-26.7*3</f>
        <v>-80.1</v>
      </c>
      <c r="H46" s="9">
        <v>6851.47</v>
      </c>
      <c r="I46" s="14">
        <f t="shared" si="1"/>
        <v>9546.3</v>
      </c>
      <c r="J46" s="14">
        <f t="shared" si="3"/>
        <v>65406188.06</v>
      </c>
      <c r="L46" s="33" t="s">
        <v>145</v>
      </c>
      <c r="M46" s="99">
        <f>I56</f>
        <v>5098.39</v>
      </c>
      <c r="N46" s="100">
        <f>H56</f>
        <v>6696.7</v>
      </c>
    </row>
    <row r="47">
      <c r="A47" s="7">
        <v>45965.0</v>
      </c>
      <c r="B47" s="9">
        <v>205.9</v>
      </c>
      <c r="C47" s="9">
        <v>-1200.0</v>
      </c>
      <c r="D47" s="14">
        <f>11.9*3</f>
        <v>35.7</v>
      </c>
      <c r="E47" s="14">
        <f>67.6*3</f>
        <v>202.8</v>
      </c>
      <c r="F47" s="14">
        <f>26.6*3</f>
        <v>79.8</v>
      </c>
      <c r="G47" s="14">
        <f>12.6*3</f>
        <v>37.8</v>
      </c>
      <c r="H47" s="9">
        <v>6793.46</v>
      </c>
      <c r="I47" s="14">
        <f t="shared" si="1"/>
        <v>-638</v>
      </c>
      <c r="J47" s="14">
        <f t="shared" si="3"/>
        <v>-4334227.48</v>
      </c>
      <c r="L47" s="36"/>
      <c r="M47" s="55"/>
      <c r="N47" s="54"/>
    </row>
    <row r="48">
      <c r="A48" s="7">
        <v>45966.0</v>
      </c>
      <c r="B48" s="9">
        <v>542.7</v>
      </c>
      <c r="C48" s="9">
        <v>-168.8</v>
      </c>
      <c r="D48" s="14">
        <f>-171.4*3</f>
        <v>-514.2</v>
      </c>
      <c r="E48" s="9">
        <v>0.0</v>
      </c>
      <c r="F48" s="9">
        <v>0.0</v>
      </c>
      <c r="G48" s="9">
        <v>-49.5</v>
      </c>
      <c r="H48" s="9">
        <v>6796.45</v>
      </c>
      <c r="I48" s="14">
        <f t="shared" si="1"/>
        <v>-189.8</v>
      </c>
      <c r="J48" s="14">
        <f t="shared" si="3"/>
        <v>-1289966.21</v>
      </c>
      <c r="L48" s="33" t="s">
        <v>68</v>
      </c>
      <c r="M48" s="99">
        <f>SUM(I52:I56)</f>
        <v>5942.39</v>
      </c>
      <c r="N48" s="100">
        <f>SUM(J52:J56)/M48</f>
        <v>6649.451671</v>
      </c>
    </row>
    <row r="49">
      <c r="A49" s="7">
        <v>45967.0</v>
      </c>
      <c r="B49" s="9">
        <v>2000.0</v>
      </c>
      <c r="C49" s="9">
        <v>1900.0</v>
      </c>
      <c r="D49" s="14">
        <f>-179*3</f>
        <v>-537</v>
      </c>
      <c r="E49" s="14">
        <f>-164.7*3</f>
        <v>-494.1</v>
      </c>
      <c r="F49" s="9">
        <v>0.0</v>
      </c>
      <c r="G49" s="14">
        <f>20.7*3</f>
        <v>62.1</v>
      </c>
      <c r="H49" s="9">
        <v>6752.1</v>
      </c>
      <c r="I49" s="14">
        <f t="shared" si="1"/>
        <v>2931</v>
      </c>
      <c r="J49" s="14">
        <f t="shared" si="3"/>
        <v>19790405.1</v>
      </c>
      <c r="L49" s="36"/>
      <c r="M49" s="55"/>
      <c r="N49" s="54"/>
    </row>
    <row r="50">
      <c r="A50" s="7">
        <v>45968.0</v>
      </c>
      <c r="B50" s="9">
        <v>-673.2</v>
      </c>
      <c r="C50" s="9">
        <v>971.4</v>
      </c>
      <c r="D50" s="14">
        <f>212.1*3</f>
        <v>636.3</v>
      </c>
      <c r="E50" s="14">
        <f>-159.1*3</f>
        <v>-477.3</v>
      </c>
      <c r="F50" s="14">
        <f>3.8*3</f>
        <v>11.4</v>
      </c>
      <c r="G50" s="9">
        <v>0.0</v>
      </c>
      <c r="H50" s="9">
        <v>6680.78</v>
      </c>
      <c r="I50" s="14">
        <f t="shared" si="1"/>
        <v>468.6</v>
      </c>
      <c r="J50" s="14">
        <f t="shared" si="3"/>
        <v>3130613.508</v>
      </c>
      <c r="L50" s="33" t="s">
        <v>69</v>
      </c>
      <c r="M50" s="101">
        <f>SUM(I37:I56)</f>
        <v>18839.17</v>
      </c>
      <c r="N50" s="100">
        <f>SUM(J37:J56)/M50</f>
        <v>6799.130846</v>
      </c>
      <c r="P50" s="97" t="s">
        <v>144</v>
      </c>
      <c r="Q50" s="33" t="s">
        <v>65</v>
      </c>
      <c r="R50" s="33" t="s">
        <v>66</v>
      </c>
    </row>
    <row r="51">
      <c r="A51" s="7">
        <v>45971.0</v>
      </c>
      <c r="B51" s="9">
        <v>1300.0</v>
      </c>
      <c r="C51" s="9">
        <v>-1200.0</v>
      </c>
      <c r="D51" s="14">
        <f>16.8*3</f>
        <v>50.4</v>
      </c>
      <c r="E51" s="14">
        <f>223.5*3</f>
        <v>670.5</v>
      </c>
      <c r="F51" s="14">
        <f>15*3</f>
        <v>45</v>
      </c>
      <c r="G51" s="14">
        <f>9.3*3</f>
        <v>27.9</v>
      </c>
      <c r="H51" s="9">
        <v>6806.0</v>
      </c>
      <c r="I51" s="14">
        <f t="shared" si="1"/>
        <v>893.8</v>
      </c>
      <c r="J51" s="14">
        <f t="shared" si="3"/>
        <v>6083202.8</v>
      </c>
      <c r="P51" s="33" t="s">
        <v>145</v>
      </c>
      <c r="Q51" s="102">
        <v>5098.39</v>
      </c>
      <c r="R51" s="103">
        <v>6696.7</v>
      </c>
    </row>
    <row r="52">
      <c r="A52" s="7">
        <v>45972.0</v>
      </c>
      <c r="B52" s="9">
        <v>958.8</v>
      </c>
      <c r="C52" s="9">
        <v>-1700.0</v>
      </c>
      <c r="D52" s="14">
        <f>-64.4*3</f>
        <v>-193.2</v>
      </c>
      <c r="E52" s="9">
        <v>0.0</v>
      </c>
      <c r="F52" s="14">
        <f>8.9*3</f>
        <v>26.7</v>
      </c>
      <c r="G52" s="9">
        <v>9.6</v>
      </c>
      <c r="H52" s="9">
        <v>6831.0</v>
      </c>
      <c r="I52" s="14">
        <f t="shared" si="1"/>
        <v>-898.1</v>
      </c>
      <c r="J52" s="14">
        <f t="shared" si="3"/>
        <v>-6134921.1</v>
      </c>
      <c r="P52" s="104"/>
      <c r="Q52" s="104"/>
      <c r="R52" s="104"/>
    </row>
    <row r="53">
      <c r="A53" s="7">
        <v>45973.0</v>
      </c>
      <c r="B53" s="9">
        <v>171.5</v>
      </c>
      <c r="C53" s="9">
        <v>-682.7</v>
      </c>
      <c r="D53" s="14">
        <f>-117.8*3</f>
        <v>-353.4</v>
      </c>
      <c r="E53" s="14">
        <f>-67.2*3</f>
        <v>-201.6</v>
      </c>
      <c r="F53" s="9">
        <v>0.0</v>
      </c>
      <c r="G53" s="9">
        <v>-3.9</v>
      </c>
      <c r="H53" s="9">
        <v>6850.0</v>
      </c>
      <c r="I53" s="14">
        <f t="shared" si="1"/>
        <v>-1070.1</v>
      </c>
      <c r="J53" s="14">
        <f t="shared" si="3"/>
        <v>-7330185</v>
      </c>
      <c r="P53" s="105" t="s">
        <v>68</v>
      </c>
      <c r="Q53" s="102">
        <v>5942.39</v>
      </c>
      <c r="R53" s="103">
        <v>6649.45</v>
      </c>
    </row>
    <row r="54">
      <c r="A54" s="7">
        <v>45974.0</v>
      </c>
      <c r="B54" s="9">
        <v>-240.3</v>
      </c>
      <c r="C54" s="9">
        <v>0.0</v>
      </c>
      <c r="D54" s="14">
        <f>11.8*3</f>
        <v>35.4</v>
      </c>
      <c r="E54" s="14">
        <f>-145.9*3</f>
        <v>-437.7</v>
      </c>
      <c r="F54" s="9">
        <v>0.0</v>
      </c>
      <c r="G54" s="14">
        <f>35.9*3</f>
        <v>107.7</v>
      </c>
      <c r="H54" s="9">
        <v>6776.4</v>
      </c>
      <c r="I54" s="14">
        <f t="shared" si="1"/>
        <v>-534.9</v>
      </c>
      <c r="J54" s="14">
        <f t="shared" si="3"/>
        <v>-3624696.36</v>
      </c>
      <c r="P54" s="36"/>
      <c r="Q54" s="36"/>
      <c r="R54" s="36"/>
    </row>
    <row r="55">
      <c r="A55" s="7">
        <v>45975.0</v>
      </c>
      <c r="B55" s="9">
        <v>1400.0</v>
      </c>
      <c r="C55" s="9">
        <v>1900.0</v>
      </c>
      <c r="D55" s="9">
        <v>0.0</v>
      </c>
      <c r="E55" s="14">
        <f>21.3*3</f>
        <v>63.9</v>
      </c>
      <c r="F55" s="14">
        <f>-5.6*3</f>
        <v>-16.8</v>
      </c>
      <c r="G55" s="9">
        <v>0.0</v>
      </c>
      <c r="H55" s="9">
        <v>6710.6</v>
      </c>
      <c r="I55" s="14">
        <f t="shared" si="1"/>
        <v>3347.1</v>
      </c>
      <c r="J55" s="14">
        <f t="shared" si="3"/>
        <v>22461049.26</v>
      </c>
      <c r="P55" s="105" t="s">
        <v>69</v>
      </c>
      <c r="Q55" s="102">
        <v>18839.17</v>
      </c>
      <c r="R55" s="103">
        <v>6799.13</v>
      </c>
    </row>
    <row r="56">
      <c r="A56" s="106">
        <v>45978.0</v>
      </c>
      <c r="B56" s="9">
        <v>435.0</v>
      </c>
      <c r="C56" s="9">
        <v>4858.0</v>
      </c>
      <c r="D56" s="14">
        <f>-43.5*3</f>
        <v>-130.5</v>
      </c>
      <c r="E56" s="9">
        <v>0.0</v>
      </c>
      <c r="F56" s="14">
        <f>3.83*3</f>
        <v>11.49</v>
      </c>
      <c r="G56" s="14">
        <f>-25.2*3</f>
        <v>-75.6</v>
      </c>
      <c r="H56" s="9">
        <v>6696.7</v>
      </c>
      <c r="I56" s="14">
        <f t="shared" si="1"/>
        <v>5098.39</v>
      </c>
      <c r="J56" s="14">
        <f t="shared" si="3"/>
        <v>34142388.31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7" t="s">
        <v>0</v>
      </c>
      <c r="B1" s="108" t="s">
        <v>146</v>
      </c>
      <c r="C1" s="108" t="s">
        <v>147</v>
      </c>
      <c r="D1" s="108" t="s">
        <v>148</v>
      </c>
      <c r="E1" s="109" t="s">
        <v>149</v>
      </c>
      <c r="F1" s="110" t="s">
        <v>150</v>
      </c>
      <c r="G1" s="110" t="s">
        <v>151</v>
      </c>
      <c r="H1" s="110" t="s">
        <v>3</v>
      </c>
    </row>
    <row r="2">
      <c r="A2" s="7">
        <v>45898.0</v>
      </c>
      <c r="B2" s="9">
        <v>2570.0</v>
      </c>
      <c r="C2" s="9">
        <v>9.5</v>
      </c>
      <c r="D2" s="9">
        <f>106.6*3</f>
        <v>319.8</v>
      </c>
      <c r="E2" s="9">
        <f>-3.46*3</f>
        <v>-10.38</v>
      </c>
      <c r="F2" s="9">
        <v>0.0</v>
      </c>
      <c r="G2" s="9">
        <v>0.0</v>
      </c>
      <c r="H2" s="9">
        <v>0.0</v>
      </c>
    </row>
    <row r="3">
      <c r="A3" s="7">
        <v>45902.0</v>
      </c>
      <c r="B3" s="9">
        <v>-2540.0</v>
      </c>
      <c r="C3" s="9">
        <v>79.79</v>
      </c>
      <c r="D3" s="9">
        <f>40.15*3</f>
        <v>120.45</v>
      </c>
      <c r="E3" s="9">
        <f>35.96*3</f>
        <v>107.88</v>
      </c>
      <c r="F3" s="9">
        <v>0.0</v>
      </c>
      <c r="G3" s="9">
        <v>0.0</v>
      </c>
      <c r="H3" s="9">
        <v>0.0</v>
      </c>
    </row>
    <row r="4">
      <c r="A4" s="7">
        <v>45903.0</v>
      </c>
      <c r="B4" s="9">
        <v>-480.0</v>
      </c>
      <c r="C4" s="9">
        <v>44.24</v>
      </c>
      <c r="D4" s="9">
        <f>-108.87*3</f>
        <v>-326.61</v>
      </c>
      <c r="E4" s="9">
        <f>-75.48*3</f>
        <v>-226.44</v>
      </c>
      <c r="F4" s="9">
        <v>0.0</v>
      </c>
      <c r="G4" s="9">
        <v>0.0</v>
      </c>
      <c r="H4" s="9">
        <v>0.0</v>
      </c>
    </row>
    <row r="5">
      <c r="A5" s="7">
        <v>45904.0</v>
      </c>
      <c r="B5" s="9">
        <v>-513.0</v>
      </c>
      <c r="C5" s="9">
        <v>-44.59</v>
      </c>
      <c r="D5" s="9">
        <f>-151.53*3</f>
        <v>-454.59</v>
      </c>
      <c r="E5" s="9">
        <f>-44.95*3</f>
        <v>-134.85</v>
      </c>
      <c r="F5" s="9">
        <v>0.0</v>
      </c>
      <c r="G5" s="9">
        <v>0.0</v>
      </c>
      <c r="H5" s="9">
        <v>0.0</v>
      </c>
    </row>
    <row r="6">
      <c r="A6" s="7">
        <v>45905.0</v>
      </c>
      <c r="B6" s="9">
        <v>-1350.0</v>
      </c>
      <c r="C6" s="9">
        <v>-9.48</v>
      </c>
      <c r="D6" s="9">
        <f>-164.92*3</f>
        <v>-494.76</v>
      </c>
      <c r="E6" s="9">
        <f>-75.18*3</f>
        <v>-225.54</v>
      </c>
      <c r="F6" s="9">
        <v>0.0</v>
      </c>
      <c r="G6" s="9">
        <v>0.0</v>
      </c>
      <c r="H6" s="9">
        <v>0.0</v>
      </c>
    </row>
    <row r="7">
      <c r="A7" s="7">
        <v>45908.0</v>
      </c>
      <c r="B7" s="9">
        <v>-720.0</v>
      </c>
      <c r="C7" s="9">
        <v>73.5</v>
      </c>
      <c r="D7" s="9">
        <f>-105.58*3</f>
        <v>-316.74</v>
      </c>
      <c r="E7" s="9">
        <f>-78.57*3</f>
        <v>-235.71</v>
      </c>
      <c r="F7" s="9">
        <v>23788.0</v>
      </c>
      <c r="G7" s="9">
        <f t="shared" ref="G7:G57" si="1">SUM(B7:E7)</f>
        <v>-1198.95</v>
      </c>
      <c r="H7" s="9">
        <f t="shared" ref="H7:H57" si="2">F7*G7</f>
        <v>-28520622.6</v>
      </c>
    </row>
    <row r="8">
      <c r="A8" s="7">
        <v>45909.0</v>
      </c>
      <c r="B8" s="9">
        <v>1270.0</v>
      </c>
      <c r="C8" s="9">
        <v>9.53</v>
      </c>
      <c r="D8" s="9">
        <f>-158.22*3</f>
        <v>-474.66</v>
      </c>
      <c r="E8" s="9">
        <f>-27.55*3</f>
        <v>-82.65</v>
      </c>
      <c r="F8" s="9">
        <v>23775.0</v>
      </c>
      <c r="G8" s="9">
        <f t="shared" si="1"/>
        <v>722.22</v>
      </c>
      <c r="H8" s="9">
        <f t="shared" si="2"/>
        <v>17170780.5</v>
      </c>
    </row>
    <row r="9">
      <c r="A9" s="7">
        <v>45910.0</v>
      </c>
      <c r="B9" s="9">
        <v>-725.0</v>
      </c>
      <c r="C9" s="9">
        <v>45.41</v>
      </c>
      <c r="D9" s="9">
        <f>-37.58*3</f>
        <v>-112.74</v>
      </c>
      <c r="E9" s="9">
        <f>-26.44*3</f>
        <v>-79.32</v>
      </c>
      <c r="F9" s="9">
        <v>23859.0</v>
      </c>
      <c r="G9" s="9">
        <f t="shared" si="1"/>
        <v>-871.65</v>
      </c>
      <c r="H9" s="9">
        <f t="shared" si="2"/>
        <v>-20796697.35</v>
      </c>
    </row>
    <row r="10">
      <c r="A10" s="7">
        <v>45911.0</v>
      </c>
      <c r="B10" s="9">
        <v>726.0</v>
      </c>
      <c r="C10" s="9">
        <v>83.68</v>
      </c>
      <c r="D10" s="9">
        <f>-164.57*3</f>
        <v>-493.71</v>
      </c>
      <c r="E10" s="9">
        <f>-98.03*3</f>
        <v>-294.09</v>
      </c>
      <c r="F10" s="9">
        <v>23950.0</v>
      </c>
      <c r="G10" s="9">
        <f t="shared" si="1"/>
        <v>21.88</v>
      </c>
      <c r="H10" s="9">
        <f t="shared" si="2"/>
        <v>524026</v>
      </c>
    </row>
    <row r="11">
      <c r="A11" s="75">
        <v>45912.0</v>
      </c>
      <c r="B11" s="9">
        <v>29.0</v>
      </c>
      <c r="C11" s="9">
        <v>187.61</v>
      </c>
      <c r="D11" s="9">
        <f>-177.05*3</f>
        <v>-531.15</v>
      </c>
      <c r="E11" s="9">
        <f>-133.99*3</f>
        <v>-401.97</v>
      </c>
      <c r="F11" s="9">
        <v>24060.0</v>
      </c>
      <c r="G11" s="9">
        <f t="shared" si="1"/>
        <v>-716.51</v>
      </c>
      <c r="H11" s="9">
        <f t="shared" si="2"/>
        <v>-17239230.6</v>
      </c>
    </row>
    <row r="12">
      <c r="A12" s="75">
        <v>45915.0</v>
      </c>
      <c r="B12" s="9">
        <v>-557.0</v>
      </c>
      <c r="C12" s="9">
        <v>0.0</v>
      </c>
      <c r="D12" s="9">
        <f>-169.44*3</f>
        <v>-508.32</v>
      </c>
      <c r="E12" s="9">
        <f>-52.16*3</f>
        <v>-156.48</v>
      </c>
      <c r="F12" s="9">
        <v>24235.0</v>
      </c>
      <c r="G12" s="9">
        <f t="shared" si="1"/>
        <v>-1221.8</v>
      </c>
      <c r="H12" s="9">
        <f t="shared" si="2"/>
        <v>-29610323</v>
      </c>
    </row>
    <row r="13">
      <c r="A13" s="75">
        <v>45916.0</v>
      </c>
      <c r="B13" s="9">
        <v>-532.0</v>
      </c>
      <c r="C13" s="9">
        <v>192.42</v>
      </c>
      <c r="D13" s="9">
        <f>104.2*3</f>
        <v>312.6</v>
      </c>
      <c r="E13" s="9">
        <f>-52.49*3</f>
        <v>-157.47</v>
      </c>
      <c r="F13" s="9">
        <v>24294.0</v>
      </c>
      <c r="G13" s="9">
        <f t="shared" si="1"/>
        <v>-184.45</v>
      </c>
      <c r="H13" s="9">
        <f t="shared" si="2"/>
        <v>-4481028.3</v>
      </c>
    </row>
    <row r="14">
      <c r="A14" s="75">
        <v>45917.0</v>
      </c>
      <c r="B14" s="9">
        <v>-148.0</v>
      </c>
      <c r="C14" s="9">
        <v>294.48</v>
      </c>
      <c r="D14" s="9">
        <f>-158.35*3</f>
        <v>-475.05</v>
      </c>
      <c r="E14" s="9">
        <f>37.25*3</f>
        <v>111.75</v>
      </c>
      <c r="F14" s="9">
        <v>24146.0</v>
      </c>
      <c r="G14" s="9">
        <f t="shared" si="1"/>
        <v>-216.82</v>
      </c>
      <c r="H14" s="9">
        <f t="shared" si="2"/>
        <v>-5235335.72</v>
      </c>
    </row>
    <row r="15">
      <c r="A15" s="75">
        <v>45918.0</v>
      </c>
      <c r="B15" s="9">
        <v>1270.0</v>
      </c>
      <c r="C15" s="9">
        <v>143.29</v>
      </c>
      <c r="D15" s="9">
        <f>-201.56*3</f>
        <v>-604.68</v>
      </c>
      <c r="E15" s="9">
        <f>-121.48*3</f>
        <v>-364.44</v>
      </c>
      <c r="F15" s="9">
        <v>24451.0</v>
      </c>
      <c r="G15" s="9">
        <f t="shared" si="1"/>
        <v>444.17</v>
      </c>
      <c r="H15" s="9">
        <f t="shared" si="2"/>
        <v>10860400.67</v>
      </c>
    </row>
    <row r="16">
      <c r="A16" s="75">
        <v>45919.0</v>
      </c>
      <c r="B16" s="9">
        <v>983.0</v>
      </c>
      <c r="C16" s="9">
        <v>53.94</v>
      </c>
      <c r="D16" s="9">
        <f>-212.32*3</f>
        <v>-636.96</v>
      </c>
      <c r="E16" s="9">
        <f>-54.67*3</f>
        <v>-164.01</v>
      </c>
      <c r="F16" s="9">
        <v>24556.0</v>
      </c>
      <c r="G16" s="9">
        <f t="shared" si="1"/>
        <v>235.97</v>
      </c>
      <c r="H16" s="9">
        <f t="shared" si="2"/>
        <v>5794479.32</v>
      </c>
    </row>
    <row r="17">
      <c r="A17" s="75">
        <v>45922.0</v>
      </c>
      <c r="B17" s="9">
        <v>3330.0</v>
      </c>
      <c r="C17" s="9">
        <v>123.45</v>
      </c>
      <c r="D17" s="9">
        <f>-113.46*3</f>
        <v>-340.38</v>
      </c>
      <c r="E17" s="9">
        <f>-45.05*3</f>
        <v>-135.15</v>
      </c>
      <c r="F17" s="9">
        <v>24680.0</v>
      </c>
      <c r="G17" s="9">
        <f t="shared" si="1"/>
        <v>2977.92</v>
      </c>
      <c r="H17" s="9">
        <f t="shared" si="2"/>
        <v>73495065.6</v>
      </c>
    </row>
    <row r="18">
      <c r="A18" s="7">
        <v>45923.0</v>
      </c>
      <c r="B18" s="9">
        <v>-4730.0</v>
      </c>
      <c r="C18" s="9">
        <v>79.35</v>
      </c>
      <c r="D18" s="9">
        <f>-246.38*3</f>
        <v>-739.14</v>
      </c>
      <c r="E18" s="9">
        <f>-78.69*3</f>
        <v>-236.07</v>
      </c>
      <c r="F18" s="9">
        <v>24650.0</v>
      </c>
      <c r="G18" s="9">
        <f t="shared" si="1"/>
        <v>-5625.86</v>
      </c>
      <c r="H18" s="9">
        <f t="shared" si="2"/>
        <v>-138677449</v>
      </c>
    </row>
    <row r="19">
      <c r="A19" s="7">
        <v>45924.0</v>
      </c>
      <c r="B19" s="9">
        <v>4570.0</v>
      </c>
      <c r="C19" s="9">
        <v>105.85</v>
      </c>
      <c r="D19" s="9">
        <f>87.14*3</f>
        <v>261.42</v>
      </c>
      <c r="E19" s="9">
        <f>-12.5*3</f>
        <v>-37.5</v>
      </c>
      <c r="F19" s="9">
        <v>24519.0</v>
      </c>
      <c r="G19" s="9">
        <f t="shared" si="1"/>
        <v>4899.77</v>
      </c>
      <c r="H19" s="9">
        <f t="shared" si="2"/>
        <v>120137460.6</v>
      </c>
    </row>
    <row r="20">
      <c r="A20" s="7">
        <v>45925.0</v>
      </c>
      <c r="B20" s="9">
        <v>1220.0</v>
      </c>
      <c r="C20" s="9">
        <v>-29.45</v>
      </c>
      <c r="D20" s="9">
        <f>-30.43*3</f>
        <v>-91.29</v>
      </c>
      <c r="E20" s="9">
        <f>109.47*3</f>
        <v>328.41</v>
      </c>
      <c r="F20" s="9">
        <v>24324.0</v>
      </c>
      <c r="G20" s="9">
        <f t="shared" si="1"/>
        <v>1427.67</v>
      </c>
      <c r="H20" s="9">
        <f t="shared" si="2"/>
        <v>34726645.08</v>
      </c>
    </row>
    <row r="21">
      <c r="A21" s="7">
        <v>45926.0</v>
      </c>
      <c r="B21" s="9">
        <v>-30.0</v>
      </c>
      <c r="C21" s="9">
        <v>73.3</v>
      </c>
      <c r="D21" s="9">
        <f>30.02*3</f>
        <v>90.06</v>
      </c>
      <c r="E21" s="9">
        <f>50.35*3</f>
        <v>151.05</v>
      </c>
      <c r="F21" s="9">
        <v>24404.0</v>
      </c>
      <c r="G21" s="9">
        <f t="shared" si="1"/>
        <v>284.41</v>
      </c>
      <c r="H21" s="9">
        <f t="shared" si="2"/>
        <v>6940741.64</v>
      </c>
    </row>
    <row r="22">
      <c r="A22" s="7">
        <v>45929.0</v>
      </c>
      <c r="B22" s="9">
        <v>-238.0</v>
      </c>
      <c r="C22" s="9">
        <v>-34.4</v>
      </c>
      <c r="D22" s="9">
        <f>3*-116.5</f>
        <v>-349.5</v>
      </c>
      <c r="E22" s="9">
        <v>-331.2</v>
      </c>
      <c r="F22" s="9">
        <v>24651.0</v>
      </c>
      <c r="G22" s="9">
        <f t="shared" si="1"/>
        <v>-953.1</v>
      </c>
      <c r="H22" s="9">
        <f t="shared" si="2"/>
        <v>-23494868.1</v>
      </c>
    </row>
    <row r="23">
      <c r="A23" s="7">
        <v>45930.0</v>
      </c>
      <c r="B23" s="9">
        <v>89.8</v>
      </c>
      <c r="C23" s="9">
        <v>49.3</v>
      </c>
      <c r="D23" s="14">
        <f>123.1*3</f>
        <v>369.3</v>
      </c>
      <c r="E23" s="14">
        <f>-49.1*3</f>
        <v>-147.3</v>
      </c>
      <c r="F23" s="9">
        <v>24598.0</v>
      </c>
      <c r="G23" s="9">
        <f t="shared" si="1"/>
        <v>361.1</v>
      </c>
      <c r="H23" s="9">
        <f t="shared" si="2"/>
        <v>8882337.8</v>
      </c>
    </row>
    <row r="24">
      <c r="A24" s="7">
        <v>45931.0</v>
      </c>
      <c r="B24" s="9">
        <v>-480.0</v>
      </c>
      <c r="C24" s="9">
        <v>24.7</v>
      </c>
      <c r="D24" s="14">
        <f>-124.1*3</f>
        <v>-372.3</v>
      </c>
      <c r="E24" s="14">
        <f>-72.3*3</f>
        <v>-216.9</v>
      </c>
      <c r="F24" s="9">
        <v>24667.0</v>
      </c>
      <c r="G24" s="9">
        <f t="shared" si="1"/>
        <v>-1044.5</v>
      </c>
      <c r="H24" s="9">
        <f t="shared" si="2"/>
        <v>-25764681.5</v>
      </c>
    </row>
    <row r="25">
      <c r="A25" s="7">
        <v>45932.0</v>
      </c>
      <c r="B25" s="9">
        <v>-3000.0</v>
      </c>
      <c r="C25" s="9">
        <v>7.5</v>
      </c>
      <c r="D25" s="14">
        <f>-15.6</f>
        <v>-15.6</v>
      </c>
      <c r="E25" s="14">
        <f>28.5*3</f>
        <v>85.5</v>
      </c>
      <c r="F25" s="9">
        <v>24863.0</v>
      </c>
      <c r="G25" s="9">
        <f t="shared" si="1"/>
        <v>-2922.6</v>
      </c>
      <c r="H25" s="9">
        <f t="shared" si="2"/>
        <v>-72664603.8</v>
      </c>
    </row>
    <row r="26">
      <c r="A26" s="7">
        <v>45933.0</v>
      </c>
      <c r="B26" s="9">
        <v>1600.0</v>
      </c>
      <c r="C26" s="9">
        <v>-7.5</v>
      </c>
      <c r="D26" s="14">
        <f>-127.3*3</f>
        <v>-381.9</v>
      </c>
      <c r="E26" s="14">
        <f>8.2*3</f>
        <v>24.6</v>
      </c>
      <c r="F26" s="9">
        <v>24836.0</v>
      </c>
      <c r="G26" s="9">
        <f t="shared" si="1"/>
        <v>1235.2</v>
      </c>
      <c r="H26" s="9">
        <f t="shared" si="2"/>
        <v>30677427.2</v>
      </c>
    </row>
    <row r="27">
      <c r="A27" s="7">
        <v>45936.0</v>
      </c>
      <c r="B27" s="9">
        <v>1700.0</v>
      </c>
      <c r="C27" s="9">
        <v>126.6</v>
      </c>
      <c r="D27" s="14">
        <f>-167.5*3</f>
        <v>-502.5</v>
      </c>
      <c r="E27" s="9">
        <v>-189.6</v>
      </c>
      <c r="F27" s="9">
        <v>24976.0</v>
      </c>
      <c r="G27" s="14">
        <f t="shared" si="1"/>
        <v>1134.5</v>
      </c>
      <c r="H27" s="14">
        <f t="shared" si="2"/>
        <v>28335272</v>
      </c>
    </row>
    <row r="28">
      <c r="A28" s="7">
        <v>45937.0</v>
      </c>
      <c r="B28" s="9">
        <v>30.0</v>
      </c>
      <c r="C28" s="9">
        <v>20.0</v>
      </c>
      <c r="D28" s="14">
        <f>337.3*3</f>
        <v>1011.9</v>
      </c>
      <c r="E28" s="14">
        <f>54.4*-3</f>
        <v>-163.2</v>
      </c>
      <c r="F28" s="9">
        <v>24923.0</v>
      </c>
      <c r="G28" s="14">
        <f t="shared" si="1"/>
        <v>898.7</v>
      </c>
      <c r="H28" s="14">
        <f t="shared" si="2"/>
        <v>22398300.1</v>
      </c>
    </row>
    <row r="29">
      <c r="A29" s="7">
        <v>45938.0</v>
      </c>
      <c r="B29" s="9">
        <v>1200.0</v>
      </c>
      <c r="C29" s="9">
        <v>79.6</v>
      </c>
      <c r="D29" s="14">
        <f>-173.7*3</f>
        <v>-521.1</v>
      </c>
      <c r="E29" s="14">
        <f>-42.6*3</f>
        <v>-127.8</v>
      </c>
      <c r="F29" s="9">
        <v>25012.0</v>
      </c>
      <c r="G29" s="14">
        <f t="shared" si="1"/>
        <v>630.7</v>
      </c>
      <c r="H29" s="14">
        <f t="shared" si="2"/>
        <v>15775068.4</v>
      </c>
    </row>
    <row r="30">
      <c r="A30" s="7">
        <v>45939.0</v>
      </c>
      <c r="B30" s="9">
        <v>367.0</v>
      </c>
      <c r="C30" s="9">
        <v>156.1</v>
      </c>
      <c r="D30" s="14">
        <f>359.7</f>
        <v>359.7</v>
      </c>
      <c r="E30" s="14">
        <f>-39.7*3</f>
        <v>-119.1</v>
      </c>
      <c r="F30" s="9">
        <v>25053.0</v>
      </c>
      <c r="G30" s="14">
        <f t="shared" si="1"/>
        <v>763.7</v>
      </c>
      <c r="H30" s="14">
        <f t="shared" si="2"/>
        <v>19132976.1</v>
      </c>
    </row>
    <row r="31">
      <c r="A31" s="7">
        <v>45940.0</v>
      </c>
      <c r="B31" s="9">
        <v>-1500.0</v>
      </c>
      <c r="C31" s="9">
        <v>-27.7</v>
      </c>
      <c r="D31" s="14">
        <f>195.2*3</f>
        <v>585.6</v>
      </c>
      <c r="E31" s="14">
        <f>382.2*3</f>
        <v>1146.6</v>
      </c>
      <c r="F31" s="9">
        <v>24701.0</v>
      </c>
      <c r="G31" s="14">
        <f t="shared" si="1"/>
        <v>204.5</v>
      </c>
      <c r="H31" s="14">
        <f t="shared" si="2"/>
        <v>5051354.5</v>
      </c>
    </row>
    <row r="32">
      <c r="A32" s="7">
        <v>45943.0</v>
      </c>
      <c r="B32" s="9">
        <v>-2200.0</v>
      </c>
      <c r="C32" s="9">
        <v>121.3</v>
      </c>
      <c r="D32" s="14">
        <f>659.5*3</f>
        <v>1978.5</v>
      </c>
      <c r="E32" s="14">
        <f>-47.4*3</f>
        <v>-142.2</v>
      </c>
      <c r="F32" s="9">
        <v>24660.0</v>
      </c>
      <c r="G32" s="14">
        <f t="shared" si="1"/>
        <v>-242.4</v>
      </c>
      <c r="H32" s="14">
        <f t="shared" si="2"/>
        <v>-5977584</v>
      </c>
      <c r="J32" s="111"/>
      <c r="K32" s="20"/>
      <c r="L32" s="20"/>
    </row>
    <row r="33">
      <c r="A33" s="7">
        <v>45944.0</v>
      </c>
      <c r="B33" s="9">
        <v>301.1</v>
      </c>
      <c r="C33" s="9">
        <v>34.7</v>
      </c>
      <c r="D33" s="14">
        <f>-113.7*3</f>
        <v>-341.1</v>
      </c>
      <c r="E33" s="14">
        <f>78*3</f>
        <v>234</v>
      </c>
      <c r="F33" s="9">
        <v>24511.0</v>
      </c>
      <c r="G33" s="14">
        <f t="shared" si="1"/>
        <v>228.7</v>
      </c>
      <c r="H33" s="14">
        <f t="shared" si="2"/>
        <v>5605665.7</v>
      </c>
      <c r="J33" s="111"/>
      <c r="K33" s="20"/>
      <c r="L33" s="20"/>
      <c r="N33" s="112"/>
      <c r="O33" s="78"/>
      <c r="P33" s="78"/>
    </row>
    <row r="34">
      <c r="A34" s="7">
        <v>45945.0</v>
      </c>
      <c r="B34" s="9">
        <v>3700.0</v>
      </c>
      <c r="C34" s="9">
        <v>-32.0</v>
      </c>
      <c r="D34" s="14">
        <f>-55.6*3</f>
        <v>-166.8</v>
      </c>
      <c r="E34" s="14">
        <f>2.3*3</f>
        <v>6.9</v>
      </c>
      <c r="F34" s="9">
        <v>24715.0</v>
      </c>
      <c r="G34" s="14">
        <f t="shared" si="1"/>
        <v>3508.1</v>
      </c>
      <c r="H34" s="14">
        <f t="shared" si="2"/>
        <v>86702691.5</v>
      </c>
      <c r="J34" s="113"/>
      <c r="K34" s="45"/>
      <c r="L34" s="114"/>
      <c r="N34" s="78"/>
      <c r="O34" s="115"/>
      <c r="P34" s="116"/>
    </row>
    <row r="35">
      <c r="A35" s="7">
        <v>45946.0</v>
      </c>
      <c r="B35" s="9">
        <v>1900.0</v>
      </c>
      <c r="C35" s="9">
        <v>9.9</v>
      </c>
      <c r="D35" s="14">
        <f>82.5*3</f>
        <v>247.5</v>
      </c>
      <c r="E35" s="14">
        <f>35.3*3</f>
        <v>105.9</v>
      </c>
      <c r="F35" s="9">
        <v>24740.0</v>
      </c>
      <c r="G35" s="14">
        <f t="shared" si="1"/>
        <v>2263.3</v>
      </c>
      <c r="H35" s="14">
        <f t="shared" si="2"/>
        <v>55994042</v>
      </c>
      <c r="J35" s="117"/>
      <c r="K35" s="18"/>
      <c r="L35" s="114"/>
      <c r="N35" s="81"/>
      <c r="O35" s="81"/>
      <c r="P35" s="81"/>
    </row>
    <row r="36">
      <c r="A36" s="7">
        <v>45947.0</v>
      </c>
      <c r="B36" s="9">
        <v>-1000.0</v>
      </c>
      <c r="C36" s="9">
        <v>96.3</v>
      </c>
      <c r="D36" s="14">
        <f>-367.3*3</f>
        <v>-1101.9</v>
      </c>
      <c r="E36" s="14">
        <f>-138.1*3</f>
        <v>-414.3</v>
      </c>
      <c r="F36" s="9">
        <v>24696.0</v>
      </c>
      <c r="G36" s="14">
        <f t="shared" si="1"/>
        <v>-2419.9</v>
      </c>
      <c r="H36" s="14">
        <f t="shared" si="2"/>
        <v>-59761850.4</v>
      </c>
      <c r="J36" s="113"/>
      <c r="K36" s="45"/>
      <c r="L36" s="114"/>
      <c r="N36" s="78"/>
      <c r="O36" s="115"/>
      <c r="P36" s="116"/>
    </row>
    <row r="37">
      <c r="A37" s="7">
        <v>45950.0</v>
      </c>
      <c r="B37" s="9">
        <v>996.4</v>
      </c>
      <c r="C37" s="9">
        <v>159.1</v>
      </c>
      <c r="D37" s="9">
        <v>-888.6</v>
      </c>
      <c r="E37" s="9">
        <v>-243.6</v>
      </c>
      <c r="F37" s="9">
        <v>25086.0</v>
      </c>
      <c r="G37" s="14">
        <f t="shared" si="1"/>
        <v>23.3</v>
      </c>
      <c r="H37" s="14">
        <f t="shared" si="2"/>
        <v>584503.8</v>
      </c>
      <c r="J37" s="117"/>
      <c r="K37" s="18"/>
      <c r="L37" s="114"/>
      <c r="N37" s="81"/>
      <c r="O37" s="81"/>
      <c r="P37" s="81"/>
    </row>
    <row r="38">
      <c r="A38" s="7">
        <v>45951.0</v>
      </c>
      <c r="B38" s="9">
        <v>1200.0</v>
      </c>
      <c r="C38" s="9">
        <v>161.2</v>
      </c>
      <c r="D38" s="14">
        <f>-64.8*3</f>
        <v>-194.4</v>
      </c>
      <c r="E38" s="14">
        <f>65.9*3</f>
        <v>197.7</v>
      </c>
      <c r="F38" s="9">
        <v>25111.0</v>
      </c>
      <c r="G38" s="14">
        <f t="shared" si="1"/>
        <v>1364.5</v>
      </c>
      <c r="H38" s="14">
        <f t="shared" si="2"/>
        <v>34263959.5</v>
      </c>
      <c r="J38" s="113"/>
      <c r="K38" s="45"/>
      <c r="L38" s="114"/>
      <c r="N38" s="78"/>
      <c r="O38" s="115"/>
      <c r="P38" s="118"/>
    </row>
    <row r="39">
      <c r="A39" s="7">
        <v>45952.0</v>
      </c>
      <c r="B39" s="9">
        <v>-1400.0</v>
      </c>
      <c r="C39" s="9">
        <v>135.9</v>
      </c>
      <c r="D39" s="9">
        <v>177.8</v>
      </c>
      <c r="E39" s="9">
        <v>180.6</v>
      </c>
      <c r="F39" s="9">
        <v>24889.0</v>
      </c>
      <c r="G39" s="14">
        <f t="shared" si="1"/>
        <v>-905.7</v>
      </c>
      <c r="H39" s="14">
        <f t="shared" si="2"/>
        <v>-22541967.3</v>
      </c>
      <c r="J39" s="117"/>
      <c r="K39" s="18"/>
      <c r="L39" s="114"/>
    </row>
    <row r="40">
      <c r="A40" s="7">
        <v>45953.0</v>
      </c>
      <c r="B40" s="9">
        <v>2200.0</v>
      </c>
      <c r="C40" s="9">
        <v>5.0</v>
      </c>
      <c r="D40" s="9">
        <v>-690.0</v>
      </c>
      <c r="E40" s="14">
        <f>-37*3</f>
        <v>-111</v>
      </c>
      <c r="F40" s="9">
        <v>24991.0</v>
      </c>
      <c r="G40" s="14">
        <f t="shared" si="1"/>
        <v>1404</v>
      </c>
      <c r="H40" s="14">
        <f t="shared" si="2"/>
        <v>35087364</v>
      </c>
      <c r="J40" s="117"/>
      <c r="K40" s="18"/>
      <c r="L40" s="114"/>
    </row>
    <row r="41">
      <c r="A41" s="7">
        <v>45954.0</v>
      </c>
      <c r="B41" s="9">
        <v>122.1</v>
      </c>
      <c r="C41" s="9">
        <v>-35.2</v>
      </c>
      <c r="D41" s="14">
        <f>-380.8*3</f>
        <v>-1142.4</v>
      </c>
      <c r="E41" s="9">
        <v>-66.9</v>
      </c>
      <c r="F41" s="9">
        <v>25353.0</v>
      </c>
      <c r="G41" s="14">
        <f t="shared" si="1"/>
        <v>-1122.4</v>
      </c>
      <c r="H41" s="14">
        <f t="shared" si="2"/>
        <v>-28456207.2</v>
      </c>
      <c r="J41" s="117"/>
      <c r="K41" s="18"/>
      <c r="L41" s="114"/>
    </row>
    <row r="42">
      <c r="A42" s="7">
        <v>45957.0</v>
      </c>
      <c r="B42" s="9">
        <v>678.7</v>
      </c>
      <c r="C42" s="9">
        <v>114.3</v>
      </c>
      <c r="D42" s="9">
        <v>0.0</v>
      </c>
      <c r="E42" s="9">
        <v>0.0</v>
      </c>
      <c r="F42" s="9">
        <v>25766.0</v>
      </c>
      <c r="G42" s="14">
        <f t="shared" si="1"/>
        <v>793</v>
      </c>
      <c r="H42" s="14">
        <f t="shared" si="2"/>
        <v>20432438</v>
      </c>
      <c r="J42" s="117"/>
      <c r="K42" s="18"/>
      <c r="L42" s="114"/>
    </row>
    <row r="43">
      <c r="A43" s="7">
        <v>45958.0</v>
      </c>
      <c r="B43" s="9">
        <v>-628.2</v>
      </c>
      <c r="C43" s="9">
        <v>181.0</v>
      </c>
      <c r="D43" s="9">
        <v>66.3</v>
      </c>
      <c r="E43" s="9">
        <v>-945.3</v>
      </c>
      <c r="F43" s="9">
        <v>25978.0</v>
      </c>
      <c r="G43" s="14">
        <f t="shared" si="1"/>
        <v>-1326.2</v>
      </c>
      <c r="H43" s="14">
        <f t="shared" si="2"/>
        <v>-34452023.6</v>
      </c>
      <c r="J43" s="117"/>
      <c r="K43" s="18"/>
      <c r="L43" s="114"/>
    </row>
    <row r="44">
      <c r="A44" s="7">
        <v>45959.0</v>
      </c>
      <c r="B44" s="9">
        <v>-569.6</v>
      </c>
      <c r="C44" s="9">
        <v>33.9</v>
      </c>
      <c r="D44" s="14">
        <f>-77.4*3</f>
        <v>-232.2</v>
      </c>
      <c r="E44" s="9">
        <v>-9.6</v>
      </c>
      <c r="F44" s="9">
        <v>26045.0</v>
      </c>
      <c r="G44" s="14">
        <f t="shared" si="1"/>
        <v>-777.5</v>
      </c>
      <c r="H44" s="14">
        <f t="shared" si="2"/>
        <v>-20249987.5</v>
      </c>
      <c r="J44" s="117"/>
      <c r="K44" s="18"/>
      <c r="L44" s="114"/>
    </row>
    <row r="45">
      <c r="A45" s="7">
        <v>45960.0</v>
      </c>
      <c r="B45" s="9">
        <v>1180.0</v>
      </c>
      <c r="C45" s="9">
        <v>185.75</v>
      </c>
      <c r="D45" s="9">
        <v>36.3</v>
      </c>
      <c r="E45" s="14">
        <f>22.35*3</f>
        <v>67.05</v>
      </c>
      <c r="F45" s="9">
        <v>25882.0</v>
      </c>
      <c r="G45" s="14">
        <f t="shared" si="1"/>
        <v>1469.1</v>
      </c>
      <c r="H45" s="14">
        <f t="shared" si="2"/>
        <v>38023246.2</v>
      </c>
      <c r="J45" s="119"/>
      <c r="K45" s="91"/>
      <c r="L45" s="120"/>
    </row>
    <row r="46">
      <c r="A46" s="7">
        <v>45961.0</v>
      </c>
      <c r="B46" s="9">
        <v>0.0</v>
      </c>
      <c r="C46" s="9">
        <v>520.7</v>
      </c>
      <c r="D46" s="14">
        <f t="shared" ref="D46:D47" si="3">-161.2*3</f>
        <v>-483.6</v>
      </c>
      <c r="E46" s="9">
        <v>82.3</v>
      </c>
      <c r="F46" s="9">
        <v>25912.0</v>
      </c>
      <c r="G46" s="14">
        <f t="shared" si="1"/>
        <v>119.4</v>
      </c>
      <c r="H46" s="14">
        <f t="shared" si="2"/>
        <v>3093892.8</v>
      </c>
      <c r="J46" s="91"/>
      <c r="K46" s="121"/>
      <c r="L46" s="122"/>
    </row>
    <row r="47">
      <c r="A47" s="7">
        <v>45964.0</v>
      </c>
      <c r="B47" s="9">
        <v>125.8</v>
      </c>
      <c r="C47" s="9">
        <v>238.3</v>
      </c>
      <c r="D47" s="14">
        <f t="shared" si="3"/>
        <v>-483.6</v>
      </c>
      <c r="E47" s="9">
        <v>6.0</v>
      </c>
      <c r="F47" s="9">
        <v>26010.0</v>
      </c>
      <c r="G47" s="14">
        <f t="shared" si="1"/>
        <v>-113.5</v>
      </c>
      <c r="H47" s="14">
        <f t="shared" si="2"/>
        <v>-2952135</v>
      </c>
      <c r="J47" s="94"/>
      <c r="K47" s="94"/>
      <c r="L47" s="123"/>
    </row>
    <row r="48">
      <c r="A48" s="7">
        <v>45965.0</v>
      </c>
      <c r="B48" s="9">
        <v>-189.6</v>
      </c>
      <c r="C48" s="9">
        <v>359.0</v>
      </c>
      <c r="D48" s="14">
        <f>266.2*3</f>
        <v>798.6</v>
      </c>
      <c r="E48" s="14">
        <f>79.9*3</f>
        <v>239.7</v>
      </c>
      <c r="F48" s="9">
        <v>25589.0</v>
      </c>
      <c r="G48" s="14">
        <f t="shared" si="1"/>
        <v>1207.7</v>
      </c>
      <c r="H48" s="14">
        <f t="shared" si="2"/>
        <v>30903835.3</v>
      </c>
      <c r="J48" s="91"/>
      <c r="K48" s="121"/>
      <c r="L48" s="122"/>
    </row>
    <row r="49">
      <c r="A49" s="7">
        <v>45966.0</v>
      </c>
      <c r="B49" s="9">
        <v>1700.0</v>
      </c>
      <c r="C49" s="9">
        <v>438.2</v>
      </c>
      <c r="D49" s="14">
        <f>354.9*3</f>
        <v>1064.7</v>
      </c>
      <c r="E49" s="14">
        <f>54.5*3</f>
        <v>163.5</v>
      </c>
      <c r="F49" s="9">
        <v>25558.0</v>
      </c>
      <c r="G49" s="14">
        <f t="shared" si="1"/>
        <v>3366.4</v>
      </c>
      <c r="H49" s="14">
        <f t="shared" si="2"/>
        <v>86038451.2</v>
      </c>
      <c r="J49" s="94"/>
      <c r="K49" s="94"/>
      <c r="L49" s="123"/>
    </row>
    <row r="50">
      <c r="A50" s="7">
        <v>45967.0</v>
      </c>
      <c r="B50" s="9">
        <v>1400.0</v>
      </c>
      <c r="C50" s="9">
        <v>128.3</v>
      </c>
      <c r="D50" s="14">
        <f>362.5*3</f>
        <v>1087.5</v>
      </c>
      <c r="E50" s="14">
        <f>132.4*3</f>
        <v>397.2</v>
      </c>
      <c r="F50" s="9">
        <v>25326.0</v>
      </c>
      <c r="G50" s="14">
        <f t="shared" si="1"/>
        <v>3013</v>
      </c>
      <c r="H50" s="14">
        <f t="shared" si="2"/>
        <v>76307238</v>
      </c>
      <c r="J50" s="119"/>
      <c r="K50" s="91"/>
      <c r="L50" s="120"/>
      <c r="N50" s="124" t="s">
        <v>152</v>
      </c>
      <c r="O50" s="33" t="s">
        <v>65</v>
      </c>
      <c r="P50" s="33" t="s">
        <v>66</v>
      </c>
    </row>
    <row r="51">
      <c r="A51" s="7">
        <v>45968.0</v>
      </c>
      <c r="B51" s="9">
        <v>-244.6</v>
      </c>
      <c r="C51" s="9">
        <v>113.3</v>
      </c>
      <c r="D51" s="14">
        <f>298.9*3</f>
        <v>896.7</v>
      </c>
      <c r="E51" s="14">
        <f>221.6*3</f>
        <v>664.8</v>
      </c>
      <c r="F51" s="9">
        <v>24834.0</v>
      </c>
      <c r="G51" s="14">
        <f t="shared" si="1"/>
        <v>1430.2</v>
      </c>
      <c r="H51" s="14">
        <f t="shared" si="2"/>
        <v>35517586.8</v>
      </c>
      <c r="J51" s="124" t="s">
        <v>153</v>
      </c>
      <c r="K51" s="33" t="s">
        <v>65</v>
      </c>
      <c r="L51" s="125" t="s">
        <v>66</v>
      </c>
      <c r="N51" s="33" t="s">
        <v>145</v>
      </c>
      <c r="O51" s="126">
        <v>-899.7</v>
      </c>
      <c r="P51" s="127">
        <v>24908.0</v>
      </c>
    </row>
    <row r="52">
      <c r="A52" s="7">
        <v>45971.0</v>
      </c>
      <c r="B52" s="9">
        <v>-3500.0</v>
      </c>
      <c r="C52" s="9">
        <v>0.0</v>
      </c>
      <c r="D52" s="14">
        <f>-31.7*3</f>
        <v>-95.1</v>
      </c>
      <c r="E52" s="14">
        <f>-50.5*3</f>
        <v>-151.5</v>
      </c>
      <c r="F52" s="9">
        <v>25505.0</v>
      </c>
      <c r="G52" s="14">
        <f t="shared" si="1"/>
        <v>-3746.6</v>
      </c>
      <c r="H52" s="14">
        <f t="shared" si="2"/>
        <v>-95557033</v>
      </c>
      <c r="J52" s="33" t="s">
        <v>145</v>
      </c>
      <c r="K52" s="128">
        <f>G57</f>
        <v>-899.7</v>
      </c>
      <c r="L52" s="129">
        <f>F57</f>
        <v>24908</v>
      </c>
      <c r="N52" s="36"/>
      <c r="O52" s="36"/>
      <c r="P52" s="36"/>
    </row>
    <row r="53">
      <c r="A53" s="7">
        <v>45972.0</v>
      </c>
      <c r="B53" s="9">
        <v>-1900.0</v>
      </c>
      <c r="C53" s="9">
        <v>84.7</v>
      </c>
      <c r="D53" s="14">
        <f>95.8*3</f>
        <v>287.4</v>
      </c>
      <c r="E53" s="14">
        <f>62.7*3</f>
        <v>188.1</v>
      </c>
      <c r="F53" s="9">
        <v>25485.0</v>
      </c>
      <c r="G53" s="14">
        <f t="shared" si="1"/>
        <v>-1339.8</v>
      </c>
      <c r="H53" s="14">
        <f t="shared" si="2"/>
        <v>-34144803</v>
      </c>
      <c r="J53" s="36"/>
      <c r="K53" s="36"/>
      <c r="L53" s="130"/>
      <c r="N53" s="33" t="s">
        <v>68</v>
      </c>
      <c r="O53" s="131">
        <v>5879.5</v>
      </c>
      <c r="P53" s="127">
        <v>25176.0</v>
      </c>
    </row>
    <row r="54">
      <c r="A54" s="7">
        <v>45973.0</v>
      </c>
      <c r="B54" s="9">
        <v>2900.0</v>
      </c>
      <c r="C54" s="9">
        <v>38.4</v>
      </c>
      <c r="D54" s="14">
        <f>262.5*3</f>
        <v>787.5</v>
      </c>
      <c r="E54" s="14">
        <f>-30.6*3</f>
        <v>-91.8</v>
      </c>
      <c r="F54" s="9">
        <v>25526.0</v>
      </c>
      <c r="G54" s="14">
        <f t="shared" si="1"/>
        <v>3634.1</v>
      </c>
      <c r="H54" s="14">
        <f t="shared" si="2"/>
        <v>92764036.6</v>
      </c>
      <c r="J54" s="33" t="s">
        <v>68</v>
      </c>
      <c r="K54" s="128">
        <f>SUM(G53:G57)</f>
        <v>5879.5</v>
      </c>
      <c r="L54" s="129">
        <f>SUM(H53:H57)/K54</f>
        <v>25176.29387</v>
      </c>
      <c r="N54" s="36"/>
      <c r="O54" s="36"/>
      <c r="P54" s="36"/>
    </row>
    <row r="55">
      <c r="A55" s="7">
        <v>45974.0</v>
      </c>
      <c r="B55" s="9">
        <v>403.6</v>
      </c>
      <c r="C55" s="9">
        <v>58.8</v>
      </c>
      <c r="D55" s="14">
        <f>122.6*3</f>
        <v>367.8</v>
      </c>
      <c r="E55" s="14">
        <f>60.7*3</f>
        <v>182.1</v>
      </c>
      <c r="F55" s="9">
        <v>25152.0</v>
      </c>
      <c r="G55" s="14">
        <f t="shared" si="1"/>
        <v>1012.3</v>
      </c>
      <c r="H55" s="14">
        <f t="shared" si="2"/>
        <v>25461369.6</v>
      </c>
      <c r="J55" s="36"/>
      <c r="K55" s="36"/>
      <c r="L55" s="130"/>
      <c r="N55" s="33" t="s">
        <v>69</v>
      </c>
      <c r="O55" s="131">
        <v>12054.9</v>
      </c>
      <c r="P55" s="127">
        <v>25175.0</v>
      </c>
    </row>
    <row r="56">
      <c r="A56" s="7">
        <v>45975.0</v>
      </c>
      <c r="B56" s="9">
        <v>3400.0</v>
      </c>
      <c r="C56" s="9">
        <v>72.6</v>
      </c>
      <c r="D56" s="9">
        <v>0.0</v>
      </c>
      <c r="E56" s="9">
        <v>0.0</v>
      </c>
      <c r="F56" s="9">
        <v>24867.0</v>
      </c>
      <c r="G56" s="14">
        <f t="shared" si="1"/>
        <v>3472.6</v>
      </c>
      <c r="H56" s="14">
        <f t="shared" si="2"/>
        <v>86353144.2</v>
      </c>
      <c r="J56" s="33" t="s">
        <v>69</v>
      </c>
      <c r="K56" s="128">
        <f>SUM(G38:G57)</f>
        <v>12054.9</v>
      </c>
      <c r="L56" s="129">
        <f>SUM(H38:H57)/K56</f>
        <v>25175.04733</v>
      </c>
    </row>
    <row r="57">
      <c r="A57" s="7">
        <v>45978.0</v>
      </c>
      <c r="B57" s="9">
        <v>-995.91</v>
      </c>
      <c r="C57" s="9">
        <v>82.0</v>
      </c>
      <c r="D57" s="9">
        <v>-168.3</v>
      </c>
      <c r="E57" s="9">
        <v>182.51</v>
      </c>
      <c r="F57" s="9">
        <v>24908.0</v>
      </c>
      <c r="G57" s="14">
        <f t="shared" si="1"/>
        <v>-899.7</v>
      </c>
      <c r="H57" s="14">
        <f t="shared" si="2"/>
        <v>-22409727.6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38"/>
    <col customWidth="1" min="10" max="10" width="16.5"/>
  </cols>
  <sheetData>
    <row r="1">
      <c r="A1" s="59" t="s">
        <v>0</v>
      </c>
      <c r="B1" s="59" t="s">
        <v>154</v>
      </c>
      <c r="C1" s="59" t="s">
        <v>155</v>
      </c>
      <c r="D1" s="59" t="s">
        <v>156</v>
      </c>
      <c r="E1" s="74" t="s">
        <v>157</v>
      </c>
      <c r="F1" s="74" t="s">
        <v>151</v>
      </c>
      <c r="G1" s="74" t="s">
        <v>3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7">
        <v>45898.0</v>
      </c>
      <c r="B2" s="9">
        <v>106.35</v>
      </c>
      <c r="C2" s="9">
        <v>26.29</v>
      </c>
      <c r="D2" s="9">
        <v>0.0</v>
      </c>
      <c r="E2" s="9">
        <v>0.0</v>
      </c>
      <c r="F2" s="9">
        <v>0.0</v>
      </c>
      <c r="G2" s="9">
        <v>0.0</v>
      </c>
    </row>
    <row r="3">
      <c r="A3" s="7">
        <v>45902.0</v>
      </c>
      <c r="B3" s="9">
        <v>-740.86</v>
      </c>
      <c r="C3" s="9">
        <v>0.0</v>
      </c>
      <c r="D3" s="9">
        <v>-6.27</v>
      </c>
      <c r="E3" s="9">
        <v>0.0</v>
      </c>
      <c r="F3" s="9">
        <v>0.0</v>
      </c>
      <c r="G3" s="9">
        <v>0.0</v>
      </c>
    </row>
    <row r="4">
      <c r="A4" s="7">
        <v>45903.0</v>
      </c>
      <c r="B4" s="9">
        <v>-151.98</v>
      </c>
      <c r="C4" s="9">
        <v>0.0</v>
      </c>
      <c r="D4" s="9">
        <f>-10.27*3</f>
        <v>-30.81</v>
      </c>
      <c r="E4" s="9">
        <v>0.0</v>
      </c>
      <c r="F4" s="9">
        <v>0.0</v>
      </c>
      <c r="G4" s="9">
        <v>0.0</v>
      </c>
    </row>
    <row r="5">
      <c r="A5" s="7">
        <v>45904.0</v>
      </c>
      <c r="B5" s="9">
        <v>-186.88</v>
      </c>
      <c r="C5" s="9">
        <v>0.0</v>
      </c>
      <c r="D5" s="9">
        <v>-6.15</v>
      </c>
      <c r="E5" s="9">
        <v>0.0</v>
      </c>
      <c r="F5" s="9">
        <v>0.0</v>
      </c>
      <c r="G5" s="9">
        <v>0.0</v>
      </c>
    </row>
    <row r="6">
      <c r="A6" s="7">
        <v>45905.0</v>
      </c>
      <c r="B6" s="9">
        <v>130.11</v>
      </c>
      <c r="C6" s="9">
        <v>0.0</v>
      </c>
      <c r="D6" s="9">
        <f>-19.13*3</f>
        <v>-57.39</v>
      </c>
      <c r="E6" s="9">
        <v>0.0</v>
      </c>
      <c r="F6" s="9">
        <v>0.0</v>
      </c>
      <c r="G6" s="9">
        <v>0.0</v>
      </c>
    </row>
    <row r="7">
      <c r="A7" s="7">
        <v>45908.0</v>
      </c>
      <c r="B7" s="9">
        <v>-261.49</v>
      </c>
      <c r="C7" s="9">
        <v>0.0</v>
      </c>
      <c r="D7" s="9">
        <f>21.55*3</f>
        <v>64.65</v>
      </c>
      <c r="E7" s="9">
        <v>2388.5</v>
      </c>
      <c r="F7" s="9">
        <f t="shared" ref="F7:F57" si="1">SUM(B7:D7)</f>
        <v>-196.84</v>
      </c>
      <c r="G7" s="9">
        <f t="shared" ref="G7:G57" si="2">E7*F7</f>
        <v>-470152.34</v>
      </c>
    </row>
    <row r="8">
      <c r="A8" s="7">
        <v>45909.0</v>
      </c>
      <c r="B8" s="9">
        <v>619.08</v>
      </c>
      <c r="C8" s="9">
        <v>0.0</v>
      </c>
      <c r="D8" s="9">
        <v>12.99</v>
      </c>
      <c r="E8" s="9">
        <v>2382.1</v>
      </c>
      <c r="F8" s="9">
        <f t="shared" si="1"/>
        <v>632.07</v>
      </c>
      <c r="G8" s="9">
        <f t="shared" si="2"/>
        <v>1505653.947</v>
      </c>
    </row>
    <row r="9">
      <c r="A9" s="7">
        <v>45910.0</v>
      </c>
      <c r="B9" s="9">
        <v>236.83</v>
      </c>
      <c r="C9" s="9">
        <v>45.5</v>
      </c>
      <c r="D9" s="9">
        <v>6.39</v>
      </c>
      <c r="E9" s="9">
        <v>2381.5</v>
      </c>
      <c r="F9" s="9">
        <f t="shared" si="1"/>
        <v>288.72</v>
      </c>
      <c r="G9" s="9">
        <f t="shared" si="2"/>
        <v>687586.68</v>
      </c>
    </row>
    <row r="10">
      <c r="A10" s="7">
        <v>45911.0</v>
      </c>
      <c r="B10" s="9">
        <v>-130.05</v>
      </c>
      <c r="C10" s="9">
        <v>0.0</v>
      </c>
      <c r="D10" s="9">
        <v>-6.36</v>
      </c>
      <c r="E10" s="9">
        <v>2401.2</v>
      </c>
      <c r="F10" s="9">
        <f t="shared" si="1"/>
        <v>-136.41</v>
      </c>
      <c r="G10" s="9">
        <f t="shared" si="2"/>
        <v>-327547.692</v>
      </c>
    </row>
    <row r="11">
      <c r="A11" s="7">
        <v>45912.0</v>
      </c>
      <c r="B11" s="9">
        <v>1630.0</v>
      </c>
      <c r="C11" s="9">
        <v>17.04</v>
      </c>
      <c r="D11" s="9">
        <v>6.69</v>
      </c>
      <c r="E11" s="9">
        <v>2406.4</v>
      </c>
      <c r="F11" s="9">
        <f t="shared" si="1"/>
        <v>1653.73</v>
      </c>
      <c r="G11" s="9">
        <f t="shared" si="2"/>
        <v>3979535.872</v>
      </c>
    </row>
    <row r="12">
      <c r="A12" s="7">
        <v>45915.0</v>
      </c>
      <c r="B12" s="9">
        <v>143.03</v>
      </c>
      <c r="C12" s="9">
        <v>0.0</v>
      </c>
      <c r="D12" s="9">
        <f>-19.49*3</f>
        <v>-58.47</v>
      </c>
      <c r="E12" s="9">
        <v>2405.7</v>
      </c>
      <c r="F12" s="9">
        <f t="shared" si="1"/>
        <v>84.56</v>
      </c>
      <c r="G12" s="9">
        <f t="shared" si="2"/>
        <v>203425.992</v>
      </c>
    </row>
    <row r="13">
      <c r="A13" s="7">
        <v>45916.0</v>
      </c>
      <c r="B13" s="9">
        <v>299.05</v>
      </c>
      <c r="C13" s="9">
        <v>-19.35</v>
      </c>
      <c r="D13" s="9">
        <v>72.24</v>
      </c>
      <c r="E13" s="9">
        <v>2397.6</v>
      </c>
      <c r="F13" s="9">
        <f t="shared" si="1"/>
        <v>351.94</v>
      </c>
      <c r="G13" s="9">
        <f t="shared" si="2"/>
        <v>843811.344</v>
      </c>
    </row>
    <row r="14">
      <c r="A14" s="7">
        <v>45917.0</v>
      </c>
      <c r="B14" s="9">
        <v>-750.86</v>
      </c>
      <c r="C14" s="9">
        <v>14.5</v>
      </c>
      <c r="D14" s="9">
        <v>45.81</v>
      </c>
      <c r="E14" s="9">
        <v>2424.7</v>
      </c>
      <c r="F14" s="9">
        <f t="shared" si="1"/>
        <v>-690.55</v>
      </c>
      <c r="G14" s="9">
        <f t="shared" si="2"/>
        <v>-1674376.585</v>
      </c>
    </row>
    <row r="15">
      <c r="A15" s="7">
        <v>45918.0</v>
      </c>
      <c r="B15" s="9">
        <v>-1720.0</v>
      </c>
      <c r="C15" s="9">
        <v>111.4</v>
      </c>
      <c r="D15" s="14">
        <f>8.78*3</f>
        <v>26.34</v>
      </c>
      <c r="E15" s="9">
        <v>2445.3</v>
      </c>
      <c r="F15" s="9">
        <f t="shared" si="1"/>
        <v>-1582.26</v>
      </c>
      <c r="G15" s="9">
        <f t="shared" si="2"/>
        <v>-3869100.378</v>
      </c>
    </row>
    <row r="16">
      <c r="A16" s="7">
        <v>45919.0</v>
      </c>
      <c r="B16" s="9">
        <v>1330.0</v>
      </c>
      <c r="C16" s="9">
        <v>24.82</v>
      </c>
      <c r="D16" s="14">
        <f>56.59*-3</f>
        <v>-169.77</v>
      </c>
      <c r="E16" s="9">
        <v>2459.1</v>
      </c>
      <c r="F16" s="9">
        <f t="shared" si="1"/>
        <v>1185.05</v>
      </c>
      <c r="G16" s="9">
        <f t="shared" si="2"/>
        <v>2914156.455</v>
      </c>
    </row>
    <row r="17">
      <c r="A17" s="7">
        <v>45922.0</v>
      </c>
      <c r="B17" s="9">
        <v>1680.0</v>
      </c>
      <c r="C17" s="9">
        <v>68.97</v>
      </c>
      <c r="D17" s="9">
        <v>-69.03</v>
      </c>
      <c r="E17" s="9">
        <v>2449.2</v>
      </c>
      <c r="F17" s="9">
        <f t="shared" si="1"/>
        <v>1679.94</v>
      </c>
      <c r="G17" s="9">
        <f t="shared" si="2"/>
        <v>4114509.048</v>
      </c>
    </row>
    <row r="18">
      <c r="A18" s="7">
        <v>45923.0</v>
      </c>
      <c r="B18" s="9">
        <v>-2600.0</v>
      </c>
      <c r="C18" s="9">
        <v>52.04</v>
      </c>
      <c r="D18" s="14">
        <f>-18.73*3</f>
        <v>-56.19</v>
      </c>
      <c r="E18" s="9">
        <v>2472.0</v>
      </c>
      <c r="F18" s="9">
        <f t="shared" si="1"/>
        <v>-2604.15</v>
      </c>
      <c r="G18" s="9">
        <f t="shared" si="2"/>
        <v>-6437458.8</v>
      </c>
    </row>
    <row r="19">
      <c r="A19" s="7">
        <v>45924.0</v>
      </c>
      <c r="B19" s="9">
        <v>2190.0</v>
      </c>
      <c r="C19" s="9">
        <v>-44.5</v>
      </c>
      <c r="D19" s="14">
        <f>-23.21*3</f>
        <v>-69.63</v>
      </c>
      <c r="E19" s="9">
        <v>2448.2</v>
      </c>
      <c r="F19" s="9">
        <f t="shared" si="1"/>
        <v>2075.87</v>
      </c>
      <c r="G19" s="9">
        <f t="shared" si="2"/>
        <v>5082144.934</v>
      </c>
    </row>
    <row r="20">
      <c r="A20" s="7">
        <v>45925.0</v>
      </c>
      <c r="B20" s="9">
        <v>664.29</v>
      </c>
      <c r="C20" s="9">
        <v>17.09</v>
      </c>
      <c r="D20" s="14">
        <f>11.28*3</f>
        <v>33.84</v>
      </c>
      <c r="E20" s="9">
        <v>2406.4</v>
      </c>
      <c r="F20" s="9">
        <f t="shared" si="1"/>
        <v>715.22</v>
      </c>
      <c r="G20" s="9">
        <f t="shared" si="2"/>
        <v>1721105.408</v>
      </c>
    </row>
    <row r="21">
      <c r="A21" s="7">
        <v>45926.0</v>
      </c>
      <c r="B21" s="9">
        <v>107.64</v>
      </c>
      <c r="C21" s="9">
        <v>-19.34</v>
      </c>
      <c r="D21" s="9">
        <v>-39.42</v>
      </c>
      <c r="E21" s="9">
        <v>2424.3</v>
      </c>
      <c r="F21" s="9">
        <f t="shared" si="1"/>
        <v>48.88</v>
      </c>
      <c r="G21" s="9">
        <f t="shared" si="2"/>
        <v>118499.784</v>
      </c>
    </row>
    <row r="22">
      <c r="A22" s="7">
        <v>45929.0</v>
      </c>
      <c r="B22" s="9">
        <v>84.5</v>
      </c>
      <c r="C22" s="9">
        <v>0.0</v>
      </c>
      <c r="D22" s="9">
        <v>-27.0</v>
      </c>
      <c r="E22" s="9">
        <v>2438.8</v>
      </c>
      <c r="F22" s="9">
        <f t="shared" si="1"/>
        <v>57.5</v>
      </c>
      <c r="G22" s="9">
        <f t="shared" si="2"/>
        <v>140231</v>
      </c>
    </row>
    <row r="23">
      <c r="A23" s="7">
        <v>45930.0</v>
      </c>
      <c r="B23" s="9">
        <v>-591.9</v>
      </c>
      <c r="C23" s="9">
        <v>87.9</v>
      </c>
      <c r="D23" s="9">
        <v>-27.0</v>
      </c>
      <c r="E23" s="9">
        <v>2425.8</v>
      </c>
      <c r="F23" s="9">
        <f t="shared" si="1"/>
        <v>-531</v>
      </c>
      <c r="G23" s="9">
        <f t="shared" si="2"/>
        <v>-1288099.8</v>
      </c>
    </row>
    <row r="24">
      <c r="A24" s="7">
        <v>45931.0</v>
      </c>
      <c r="B24" s="9">
        <v>-1200.0</v>
      </c>
      <c r="C24" s="9">
        <v>-46.4</v>
      </c>
      <c r="D24" s="9">
        <v>-98.2</v>
      </c>
      <c r="E24" s="9">
        <v>2436.2</v>
      </c>
      <c r="F24" s="9">
        <f t="shared" si="1"/>
        <v>-1344.6</v>
      </c>
      <c r="G24" s="9">
        <f t="shared" si="2"/>
        <v>-3275714.52</v>
      </c>
    </row>
    <row r="25">
      <c r="A25" s="7">
        <v>45932.0</v>
      </c>
      <c r="B25" s="9">
        <v>-751.6</v>
      </c>
      <c r="C25" s="9">
        <v>0.0</v>
      </c>
      <c r="D25" s="9">
        <v>0.0</v>
      </c>
      <c r="E25" s="9">
        <v>2447.1</v>
      </c>
      <c r="F25" s="9">
        <f t="shared" si="1"/>
        <v>-751.6</v>
      </c>
      <c r="G25" s="9">
        <f t="shared" si="2"/>
        <v>-1839240.36</v>
      </c>
    </row>
    <row r="26">
      <c r="A26" s="7">
        <v>45933.0</v>
      </c>
      <c r="B26" s="9">
        <v>-219.7</v>
      </c>
      <c r="C26" s="9">
        <v>14.8</v>
      </c>
      <c r="D26" s="14">
        <f>-74.3*3</f>
        <v>-222.9</v>
      </c>
      <c r="E26" s="9">
        <v>2482.0</v>
      </c>
      <c r="F26" s="9">
        <f t="shared" si="1"/>
        <v>-427.8</v>
      </c>
      <c r="G26" s="9">
        <f t="shared" si="2"/>
        <v>-1061799.6</v>
      </c>
    </row>
    <row r="27">
      <c r="A27" s="7">
        <v>45936.0</v>
      </c>
      <c r="B27" s="9">
        <v>-73.8</v>
      </c>
      <c r="C27" s="9">
        <v>-131.7</v>
      </c>
      <c r="D27" s="14">
        <f>-59.2*3</f>
        <v>-177.6</v>
      </c>
      <c r="E27" s="9">
        <v>2491.6</v>
      </c>
      <c r="F27" s="9">
        <f t="shared" si="1"/>
        <v>-383.1</v>
      </c>
      <c r="G27" s="14">
        <f t="shared" si="2"/>
        <v>-954531.96</v>
      </c>
    </row>
    <row r="28">
      <c r="A28" s="7">
        <v>45937.0</v>
      </c>
      <c r="B28" s="9">
        <v>135.8</v>
      </c>
      <c r="C28" s="9">
        <v>0.0</v>
      </c>
      <c r="D28" s="9">
        <v>-21.6</v>
      </c>
      <c r="E28" s="9">
        <v>2472.2</v>
      </c>
      <c r="F28" s="9">
        <f t="shared" si="1"/>
        <v>114.2</v>
      </c>
      <c r="G28" s="14">
        <f t="shared" si="2"/>
        <v>282325.24</v>
      </c>
    </row>
    <row r="29">
      <c r="A29" s="7">
        <v>45938.0</v>
      </c>
      <c r="B29" s="9">
        <v>-1000.0</v>
      </c>
      <c r="C29" s="9">
        <v>0.0</v>
      </c>
      <c r="D29" s="14">
        <f>37.1*3</f>
        <v>111.3</v>
      </c>
      <c r="E29" s="9">
        <v>2473.15</v>
      </c>
      <c r="F29" s="9">
        <f t="shared" si="1"/>
        <v>-888.7</v>
      </c>
      <c r="G29" s="14">
        <f t="shared" si="2"/>
        <v>-2197888.405</v>
      </c>
    </row>
    <row r="30">
      <c r="A30" s="7">
        <v>45939.0</v>
      </c>
      <c r="B30" s="9">
        <v>271.3</v>
      </c>
      <c r="C30" s="9">
        <v>29.9</v>
      </c>
      <c r="D30" s="14">
        <f>28.8</f>
        <v>28.8</v>
      </c>
      <c r="E30" s="9">
        <v>2475.19</v>
      </c>
      <c r="F30" s="9">
        <f t="shared" si="1"/>
        <v>330</v>
      </c>
      <c r="G30" s="14">
        <f t="shared" si="2"/>
        <v>816812.7</v>
      </c>
    </row>
    <row r="31">
      <c r="A31" s="7">
        <v>45940.0</v>
      </c>
      <c r="B31" s="9">
        <v>-220.6</v>
      </c>
      <c r="C31" s="9">
        <v>0.0</v>
      </c>
      <c r="D31" s="9">
        <v>-14.1</v>
      </c>
      <c r="E31" s="9">
        <v>2439.1</v>
      </c>
      <c r="F31" s="9">
        <f t="shared" si="1"/>
        <v>-234.7</v>
      </c>
      <c r="G31" s="14">
        <f t="shared" si="2"/>
        <v>-572456.77</v>
      </c>
    </row>
    <row r="32">
      <c r="A32" s="7">
        <v>45943.0</v>
      </c>
      <c r="B32" s="9">
        <v>-95.1</v>
      </c>
      <c r="C32" s="9">
        <v>40.8</v>
      </c>
      <c r="D32" s="14">
        <f>-27.7*3</f>
        <v>-83.1</v>
      </c>
      <c r="E32" s="9">
        <v>2442.96</v>
      </c>
      <c r="F32" s="14">
        <f t="shared" si="1"/>
        <v>-137.4</v>
      </c>
      <c r="G32" s="14">
        <f t="shared" si="2"/>
        <v>-335662.704</v>
      </c>
      <c r="I32" s="132"/>
      <c r="J32" s="78"/>
      <c r="K32" s="78"/>
    </row>
    <row r="33">
      <c r="A33" s="7">
        <v>45944.0</v>
      </c>
      <c r="B33" s="9">
        <v>61.1</v>
      </c>
      <c r="C33" s="9">
        <v>-14.8</v>
      </c>
      <c r="D33" s="9">
        <v>20.7</v>
      </c>
      <c r="E33" s="9">
        <v>2465.2</v>
      </c>
      <c r="F33" s="14">
        <f t="shared" si="1"/>
        <v>67</v>
      </c>
      <c r="G33" s="14">
        <f t="shared" si="2"/>
        <v>165168.4</v>
      </c>
      <c r="I33" s="133"/>
      <c r="J33" s="45"/>
      <c r="K33" s="45"/>
      <c r="M33" s="132"/>
      <c r="N33" s="78"/>
      <c r="O33" s="78"/>
    </row>
    <row r="34">
      <c r="A34" s="7">
        <v>45945.0</v>
      </c>
      <c r="B34" s="9">
        <v>-148.7</v>
      </c>
      <c r="C34" s="9">
        <v>0.0</v>
      </c>
      <c r="D34" s="14">
        <f>-14.4*3</f>
        <v>-43.2</v>
      </c>
      <c r="E34" s="9">
        <v>2516.1</v>
      </c>
      <c r="F34" s="14">
        <f t="shared" si="1"/>
        <v>-191.9</v>
      </c>
      <c r="G34" s="14">
        <f t="shared" si="2"/>
        <v>-482839.59</v>
      </c>
      <c r="I34" s="134"/>
      <c r="J34" s="18"/>
      <c r="K34" s="18"/>
      <c r="M34" s="135"/>
      <c r="N34" s="115"/>
      <c r="O34" s="115"/>
    </row>
    <row r="35">
      <c r="A35" s="7">
        <v>45946.0</v>
      </c>
      <c r="B35" s="9">
        <v>162.6</v>
      </c>
      <c r="C35" s="9">
        <v>121.4</v>
      </c>
      <c r="D35" s="9">
        <v>-15.0</v>
      </c>
      <c r="E35" s="9">
        <v>2493.76</v>
      </c>
      <c r="F35" s="14">
        <f t="shared" si="1"/>
        <v>269</v>
      </c>
      <c r="G35" s="14">
        <f t="shared" si="2"/>
        <v>670821.44</v>
      </c>
      <c r="I35" s="133"/>
      <c r="J35" s="45"/>
      <c r="K35" s="86"/>
      <c r="M35" s="81"/>
      <c r="N35" s="81"/>
      <c r="O35" s="81"/>
    </row>
    <row r="36">
      <c r="A36" s="7">
        <v>45947.0</v>
      </c>
      <c r="B36" s="9">
        <v>85.7</v>
      </c>
      <c r="C36" s="9">
        <v>29.7</v>
      </c>
      <c r="D36" s="9">
        <v>76.5</v>
      </c>
      <c r="E36" s="9">
        <v>2449.14</v>
      </c>
      <c r="F36" s="14">
        <f t="shared" si="1"/>
        <v>191.9</v>
      </c>
      <c r="G36" s="14">
        <f t="shared" si="2"/>
        <v>469989.966</v>
      </c>
      <c r="I36" s="134"/>
      <c r="J36" s="18"/>
      <c r="K36" s="86"/>
      <c r="M36" s="78"/>
      <c r="N36" s="115"/>
      <c r="O36" s="83"/>
    </row>
    <row r="37">
      <c r="A37" s="7">
        <v>45950.0</v>
      </c>
      <c r="B37" s="9">
        <v>401.7</v>
      </c>
      <c r="C37" s="9">
        <v>0.0</v>
      </c>
      <c r="D37" s="9">
        <v>-27.3</v>
      </c>
      <c r="E37" s="9">
        <v>2485.84</v>
      </c>
      <c r="F37" s="14">
        <f t="shared" si="1"/>
        <v>374.4</v>
      </c>
      <c r="G37" s="14">
        <f t="shared" si="2"/>
        <v>930698.496</v>
      </c>
      <c r="I37" s="133"/>
      <c r="J37" s="45"/>
      <c r="K37" s="86"/>
      <c r="M37" s="81"/>
      <c r="N37" s="81"/>
      <c r="O37" s="81"/>
    </row>
    <row r="38">
      <c r="A38" s="7">
        <v>45951.0</v>
      </c>
      <c r="B38" s="9">
        <v>111.7</v>
      </c>
      <c r="C38" s="9">
        <v>30.1</v>
      </c>
      <c r="D38" s="14">
        <f>-28.9*3</f>
        <v>-86.7</v>
      </c>
      <c r="E38" s="9">
        <v>2487.06</v>
      </c>
      <c r="F38" s="14">
        <f t="shared" si="1"/>
        <v>55.1</v>
      </c>
      <c r="G38" s="14">
        <f t="shared" si="2"/>
        <v>137037.006</v>
      </c>
      <c r="I38" s="134"/>
      <c r="J38" s="18"/>
      <c r="K38" s="86"/>
      <c r="M38" s="78"/>
      <c r="N38" s="115"/>
      <c r="O38" s="80"/>
    </row>
    <row r="39">
      <c r="A39" s="7">
        <v>45952.0</v>
      </c>
      <c r="B39" s="9">
        <v>481.6</v>
      </c>
      <c r="C39" s="9">
        <v>0.0</v>
      </c>
      <c r="D39" s="14">
        <f>-30.8*3</f>
        <v>-92.4</v>
      </c>
      <c r="E39" s="9">
        <v>2455.83</v>
      </c>
      <c r="F39" s="14">
        <f t="shared" si="1"/>
        <v>389.2</v>
      </c>
      <c r="G39" s="14">
        <f t="shared" si="2"/>
        <v>955809.036</v>
      </c>
      <c r="I39" s="134"/>
      <c r="J39" s="18"/>
      <c r="K39" s="86"/>
    </row>
    <row r="40">
      <c r="A40" s="7">
        <v>45953.0</v>
      </c>
      <c r="B40" s="9">
        <v>170.4</v>
      </c>
      <c r="C40" s="9">
        <v>0.0</v>
      </c>
      <c r="D40" s="9">
        <v>34.0</v>
      </c>
      <c r="E40" s="9">
        <v>2472.84</v>
      </c>
      <c r="F40" s="14">
        <f t="shared" si="1"/>
        <v>204.4</v>
      </c>
      <c r="G40" s="14">
        <f t="shared" si="2"/>
        <v>505448.496</v>
      </c>
      <c r="I40" s="134"/>
      <c r="J40" s="18"/>
      <c r="K40" s="86"/>
    </row>
    <row r="41">
      <c r="A41" s="7">
        <v>45954.0</v>
      </c>
      <c r="B41" s="9">
        <v>394.4</v>
      </c>
      <c r="C41" s="9">
        <v>-29.9</v>
      </c>
      <c r="D41" s="9">
        <v>-49.5</v>
      </c>
      <c r="E41" s="9">
        <v>2514.47</v>
      </c>
      <c r="F41" s="14">
        <f t="shared" si="1"/>
        <v>315</v>
      </c>
      <c r="G41" s="14">
        <f t="shared" si="2"/>
        <v>792058.05</v>
      </c>
      <c r="I41" s="134"/>
      <c r="J41" s="18"/>
      <c r="K41" s="86"/>
    </row>
    <row r="42">
      <c r="A42" s="7">
        <v>45957.0</v>
      </c>
      <c r="B42" s="9">
        <v>-224.6</v>
      </c>
      <c r="C42" s="9">
        <v>0.0</v>
      </c>
      <c r="D42" s="9">
        <f>-43.9 *3</f>
        <v>-131.7</v>
      </c>
      <c r="E42" s="9">
        <v>2528.7</v>
      </c>
      <c r="F42" s="14">
        <f t="shared" si="1"/>
        <v>-356.3</v>
      </c>
      <c r="G42" s="14">
        <f t="shared" si="2"/>
        <v>-900975.81</v>
      </c>
      <c r="I42" s="134"/>
      <c r="J42" s="18"/>
      <c r="K42" s="86"/>
    </row>
    <row r="43">
      <c r="A43" s="7">
        <v>45958.0</v>
      </c>
      <c r="B43" s="9">
        <v>-988.4</v>
      </c>
      <c r="C43" s="9">
        <v>0.0</v>
      </c>
      <c r="D43" s="14">
        <f>-14.7*3</f>
        <v>-44.1</v>
      </c>
      <c r="E43" s="9">
        <v>2512.3</v>
      </c>
      <c r="F43" s="14">
        <f t="shared" si="1"/>
        <v>-1032.5</v>
      </c>
      <c r="G43" s="14">
        <f t="shared" si="2"/>
        <v>-2593949.75</v>
      </c>
      <c r="I43" s="134"/>
      <c r="J43" s="18"/>
      <c r="K43" s="86"/>
    </row>
    <row r="44">
      <c r="A44" s="7">
        <v>45959.0</v>
      </c>
      <c r="B44" s="9">
        <v>-273.8</v>
      </c>
      <c r="C44" s="9">
        <v>0.0</v>
      </c>
      <c r="D44" s="9">
        <v>0.0</v>
      </c>
      <c r="E44" s="9">
        <v>2497.62</v>
      </c>
      <c r="F44" s="14">
        <f t="shared" si="1"/>
        <v>-273.8</v>
      </c>
      <c r="G44" s="14">
        <f t="shared" si="2"/>
        <v>-683848.356</v>
      </c>
      <c r="I44" s="134"/>
      <c r="J44" s="18"/>
      <c r="K44" s="86"/>
    </row>
    <row r="45">
      <c r="A45" s="7">
        <v>45960.0</v>
      </c>
      <c r="B45" s="9">
        <v>-259.05</v>
      </c>
      <c r="C45" s="9">
        <v>0.0</v>
      </c>
      <c r="D45" s="9">
        <f>2.35*3</f>
        <v>7.05</v>
      </c>
      <c r="E45" s="9">
        <v>2480.43</v>
      </c>
      <c r="F45" s="14">
        <f t="shared" si="1"/>
        <v>-252</v>
      </c>
      <c r="G45" s="14">
        <f t="shared" si="2"/>
        <v>-625068.36</v>
      </c>
      <c r="I45" s="136"/>
      <c r="J45" s="91"/>
      <c r="K45" s="90"/>
    </row>
    <row r="46">
      <c r="A46" s="7">
        <v>45961.0</v>
      </c>
      <c r="B46" s="9">
        <v>-61.2</v>
      </c>
      <c r="C46" s="9">
        <v>24.8</v>
      </c>
      <c r="D46" s="9">
        <v>6.9</v>
      </c>
      <c r="E46" s="9">
        <v>2470.08</v>
      </c>
      <c r="F46" s="14">
        <f t="shared" si="1"/>
        <v>-29.5</v>
      </c>
      <c r="G46" s="14">
        <f t="shared" si="2"/>
        <v>-72867.36</v>
      </c>
      <c r="I46" s="91"/>
      <c r="J46" s="121"/>
      <c r="K46" s="93"/>
    </row>
    <row r="47">
      <c r="A47" s="7">
        <v>45964.0</v>
      </c>
      <c r="B47" s="9">
        <v>640.1</v>
      </c>
      <c r="C47" s="9">
        <v>22.4</v>
      </c>
      <c r="D47" s="14">
        <f>-9.3*3</f>
        <v>-27.9</v>
      </c>
      <c r="E47" s="9">
        <v>2461.48</v>
      </c>
      <c r="F47" s="14">
        <f t="shared" si="1"/>
        <v>634.6</v>
      </c>
      <c r="G47" s="14">
        <f t="shared" si="2"/>
        <v>1562055.208</v>
      </c>
      <c r="I47" s="94"/>
      <c r="J47" s="94"/>
      <c r="K47" s="96"/>
    </row>
    <row r="48">
      <c r="A48" s="7">
        <v>45965.0</v>
      </c>
      <c r="B48" s="9">
        <v>-159.5</v>
      </c>
      <c r="C48" s="9">
        <v>54.6</v>
      </c>
      <c r="D48" s="14">
        <f>11.6*3</f>
        <v>34.8</v>
      </c>
      <c r="E48" s="9">
        <v>2441.87</v>
      </c>
      <c r="F48" s="14">
        <f t="shared" si="1"/>
        <v>-70.1</v>
      </c>
      <c r="G48" s="14">
        <f t="shared" si="2"/>
        <v>-171175.087</v>
      </c>
      <c r="I48" s="91"/>
      <c r="J48" s="121"/>
      <c r="K48" s="93"/>
    </row>
    <row r="49">
      <c r="A49" s="7">
        <v>45966.0</v>
      </c>
      <c r="B49" s="9">
        <v>638.8</v>
      </c>
      <c r="C49" s="9">
        <v>0.0</v>
      </c>
      <c r="D49" s="14">
        <f>-39.4*3</f>
        <v>-118.2</v>
      </c>
      <c r="E49" s="9">
        <v>2451.24</v>
      </c>
      <c r="F49" s="14">
        <f t="shared" si="1"/>
        <v>520.6</v>
      </c>
      <c r="G49" s="14">
        <f t="shared" si="2"/>
        <v>1276115.544</v>
      </c>
      <c r="I49" s="94"/>
      <c r="J49" s="94"/>
      <c r="K49" s="96"/>
    </row>
    <row r="50">
      <c r="A50" s="7">
        <v>45967.0</v>
      </c>
      <c r="B50" s="9">
        <v>97.9</v>
      </c>
      <c r="C50" s="9">
        <v>-9.9</v>
      </c>
      <c r="D50" s="14">
        <f>-22.9*3</f>
        <v>-68.7</v>
      </c>
      <c r="E50" s="9">
        <v>2439.27</v>
      </c>
      <c r="F50" s="14">
        <f t="shared" si="1"/>
        <v>19.3</v>
      </c>
      <c r="G50" s="14">
        <f t="shared" si="2"/>
        <v>47077.911</v>
      </c>
      <c r="I50" s="134"/>
      <c r="J50" s="18"/>
      <c r="K50" s="86"/>
      <c r="M50" s="137" t="s">
        <v>158</v>
      </c>
      <c r="N50" s="33" t="s">
        <v>65</v>
      </c>
      <c r="O50" s="33" t="s">
        <v>66</v>
      </c>
    </row>
    <row r="51">
      <c r="A51" s="7">
        <v>45968.0</v>
      </c>
      <c r="B51" s="9">
        <v>252.2</v>
      </c>
      <c r="C51" s="9">
        <v>14.6</v>
      </c>
      <c r="D51" s="14">
        <f>8.6*3</f>
        <v>25.8</v>
      </c>
      <c r="E51" s="9">
        <v>2406.49</v>
      </c>
      <c r="F51" s="14">
        <f t="shared" si="1"/>
        <v>292.6</v>
      </c>
      <c r="G51" s="14">
        <f t="shared" si="2"/>
        <v>704138.974</v>
      </c>
      <c r="I51" s="137" t="s">
        <v>158</v>
      </c>
      <c r="J51" s="33" t="s">
        <v>65</v>
      </c>
      <c r="K51" s="98" t="s">
        <v>66</v>
      </c>
      <c r="M51" s="33" t="s">
        <v>145</v>
      </c>
      <c r="N51" s="131">
        <v>284.5</v>
      </c>
      <c r="O51" s="138">
        <v>2362.59</v>
      </c>
    </row>
    <row r="52">
      <c r="A52" s="7">
        <v>45971.0</v>
      </c>
      <c r="B52" s="9">
        <v>48.3</v>
      </c>
      <c r="C52" s="9">
        <v>0.0</v>
      </c>
      <c r="D52" s="9">
        <v>33.0</v>
      </c>
      <c r="E52" s="9">
        <v>2454.61</v>
      </c>
      <c r="F52" s="14">
        <f t="shared" si="1"/>
        <v>81.3</v>
      </c>
      <c r="G52" s="14">
        <f t="shared" si="2"/>
        <v>199559.793</v>
      </c>
      <c r="I52" s="33" t="s">
        <v>145</v>
      </c>
      <c r="J52" s="139">
        <f>F57</f>
        <v>284.4685</v>
      </c>
      <c r="K52" s="100">
        <f>E57</f>
        <v>2362.59</v>
      </c>
      <c r="M52" s="36"/>
      <c r="N52" s="36"/>
      <c r="O52" s="36"/>
    </row>
    <row r="53">
      <c r="A53" s="7">
        <v>45972.0</v>
      </c>
      <c r="B53" s="9">
        <v>207.3</v>
      </c>
      <c r="C53" s="9">
        <v>0.0</v>
      </c>
      <c r="D53" s="9">
        <v>-47.4</v>
      </c>
      <c r="E53" s="9">
        <v>2453.5</v>
      </c>
      <c r="F53" s="14">
        <f t="shared" si="1"/>
        <v>159.9</v>
      </c>
      <c r="G53" s="14">
        <f t="shared" si="2"/>
        <v>392314.65</v>
      </c>
      <c r="I53" s="36"/>
      <c r="J53" s="36"/>
      <c r="K53" s="54"/>
      <c r="M53" s="33" t="s">
        <v>68</v>
      </c>
      <c r="N53" s="131">
        <v>1862.96</v>
      </c>
      <c r="O53" s="103">
        <v>2393.42</v>
      </c>
    </row>
    <row r="54">
      <c r="A54" s="7">
        <v>45973.0</v>
      </c>
      <c r="B54" s="9">
        <v>195.4</v>
      </c>
      <c r="C54" s="9">
        <v>0.0</v>
      </c>
      <c r="D54" s="9">
        <v>-27.3</v>
      </c>
      <c r="E54" s="9">
        <v>2463.83</v>
      </c>
      <c r="F54" s="14">
        <f t="shared" si="1"/>
        <v>168.1</v>
      </c>
      <c r="G54" s="14">
        <f t="shared" si="2"/>
        <v>414169.823</v>
      </c>
      <c r="I54" s="33" t="s">
        <v>68</v>
      </c>
      <c r="J54" s="139">
        <f>SUM(F53:F57)</f>
        <v>1862.9685</v>
      </c>
      <c r="K54" s="100">
        <f>SUM(G53:G57)/J54</f>
        <v>2393.424755</v>
      </c>
      <c r="M54" s="36"/>
      <c r="N54" s="36"/>
      <c r="O54" s="36"/>
    </row>
    <row r="55">
      <c r="A55" s="7">
        <v>45974.0</v>
      </c>
      <c r="B55" s="9">
        <v>328.7</v>
      </c>
      <c r="C55" s="9">
        <v>19.7</v>
      </c>
      <c r="D55" s="9">
        <v>20.1</v>
      </c>
      <c r="E55" s="9">
        <v>2408.48</v>
      </c>
      <c r="F55" s="14">
        <f t="shared" si="1"/>
        <v>368.5</v>
      </c>
      <c r="G55" s="14">
        <f t="shared" si="2"/>
        <v>887524.88</v>
      </c>
      <c r="I55" s="36"/>
      <c r="J55" s="36"/>
      <c r="K55" s="54"/>
      <c r="M55" s="33" t="s">
        <v>69</v>
      </c>
      <c r="N55" s="131">
        <v>2360.86</v>
      </c>
      <c r="O55" s="103">
        <v>2367.9</v>
      </c>
    </row>
    <row r="56">
      <c r="A56" s="7">
        <v>45975.0</v>
      </c>
      <c r="B56" s="9">
        <v>710.2</v>
      </c>
      <c r="C56" s="9">
        <v>35.9</v>
      </c>
      <c r="D56" s="14">
        <f>45.3*3</f>
        <v>135.9</v>
      </c>
      <c r="E56" s="9">
        <v>2372.77</v>
      </c>
      <c r="F56" s="14">
        <f t="shared" si="1"/>
        <v>882</v>
      </c>
      <c r="G56" s="14">
        <f t="shared" si="2"/>
        <v>2092783.14</v>
      </c>
      <c r="I56" s="33" t="s">
        <v>69</v>
      </c>
      <c r="J56" s="139">
        <f>SUM(F38:F57)</f>
        <v>2360.8685</v>
      </c>
      <c r="K56" s="100">
        <f>SUM(G38:G57)/J56</f>
        <v>2367.895637</v>
      </c>
    </row>
    <row r="57">
      <c r="A57" s="7">
        <v>45978.0</v>
      </c>
      <c r="B57" s="9">
        <v>225.9685</v>
      </c>
      <c r="C57" s="9">
        <v>0.0</v>
      </c>
      <c r="D57" s="9">
        <v>58.5</v>
      </c>
      <c r="E57" s="9">
        <v>2362.59</v>
      </c>
      <c r="F57" s="14">
        <f t="shared" si="1"/>
        <v>284.4685</v>
      </c>
      <c r="G57" s="14">
        <f t="shared" si="2"/>
        <v>672082.4334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  <col customWidth="1" min="6" max="6" width="14.0"/>
  </cols>
  <sheetData>
    <row r="1">
      <c r="A1" s="140" t="s">
        <v>0</v>
      </c>
      <c r="B1" s="140" t="s">
        <v>159</v>
      </c>
      <c r="C1" s="140" t="s">
        <v>160</v>
      </c>
      <c r="D1" s="140" t="s">
        <v>161</v>
      </c>
      <c r="E1" s="140" t="s">
        <v>151</v>
      </c>
      <c r="F1" s="140" t="s">
        <v>3</v>
      </c>
    </row>
    <row r="2">
      <c r="A2" s="75">
        <v>45898.0</v>
      </c>
      <c r="B2" s="9">
        <v>-296.4</v>
      </c>
      <c r="C2" s="9">
        <v>-34.2</v>
      </c>
    </row>
    <row r="3">
      <c r="A3" s="7">
        <v>45902.0</v>
      </c>
      <c r="B3" s="9">
        <v>-77.9</v>
      </c>
      <c r="C3" s="14">
        <f>3.7*3</f>
        <v>11.1</v>
      </c>
    </row>
    <row r="4">
      <c r="A4" s="7">
        <v>45903.0</v>
      </c>
      <c r="B4" s="9">
        <v>402.4</v>
      </c>
      <c r="C4" s="14">
        <f>10.8*3</f>
        <v>32.4</v>
      </c>
    </row>
    <row r="5">
      <c r="A5" s="7">
        <v>45904.0</v>
      </c>
      <c r="B5" s="9">
        <v>-86.6</v>
      </c>
      <c r="C5" s="9">
        <v>-5.7</v>
      </c>
    </row>
    <row r="6">
      <c r="A6" s="7">
        <v>45905.0</v>
      </c>
      <c r="B6" s="9">
        <v>-174.4</v>
      </c>
      <c r="C6" s="9">
        <v>-155.9</v>
      </c>
    </row>
    <row r="7">
      <c r="A7" s="7">
        <v>45908.0</v>
      </c>
      <c r="B7" s="9">
        <v>-79.6</v>
      </c>
      <c r="C7" s="14">
        <f>-131.6*3</f>
        <v>-394.8</v>
      </c>
      <c r="D7" s="9">
        <v>89.14</v>
      </c>
      <c r="E7" s="14">
        <f t="shared" ref="E7:E57" si="1">SUM(B7:C7)</f>
        <v>-474.4</v>
      </c>
      <c r="F7" s="14">
        <f t="shared" ref="F7:F57" si="2">D7*E7</f>
        <v>-42288.016</v>
      </c>
    </row>
    <row r="8">
      <c r="A8" s="7">
        <v>45909.0</v>
      </c>
      <c r="B8" s="9">
        <v>-475.4</v>
      </c>
      <c r="C8" s="14">
        <f>-95.4*3</f>
        <v>-286.2</v>
      </c>
      <c r="D8" s="9">
        <v>88.98</v>
      </c>
      <c r="E8" s="14">
        <f t="shared" si="1"/>
        <v>-761.6</v>
      </c>
      <c r="F8" s="14">
        <f t="shared" si="2"/>
        <v>-67767.168</v>
      </c>
    </row>
    <row r="9">
      <c r="A9" s="7">
        <v>45910.0</v>
      </c>
      <c r="B9" s="9">
        <v>-71.4</v>
      </c>
      <c r="C9" s="14">
        <f>-40.7*3</f>
        <v>-122.1</v>
      </c>
      <c r="D9" s="9">
        <v>89.29</v>
      </c>
      <c r="E9" s="14">
        <f t="shared" si="1"/>
        <v>-193.5</v>
      </c>
      <c r="F9" s="14">
        <f t="shared" si="2"/>
        <v>-17277.615</v>
      </c>
    </row>
    <row r="10">
      <c r="A10" s="7">
        <v>45911.0</v>
      </c>
      <c r="B10" s="9">
        <v>134.6</v>
      </c>
      <c r="C10" s="14">
        <f>-29*3</f>
        <v>-87</v>
      </c>
      <c r="D10" s="9">
        <v>89.84</v>
      </c>
      <c r="E10" s="14">
        <f t="shared" si="1"/>
        <v>47.6</v>
      </c>
      <c r="F10" s="14">
        <f t="shared" si="2"/>
        <v>4276.384</v>
      </c>
    </row>
    <row r="11">
      <c r="A11" s="7">
        <v>45912.0</v>
      </c>
      <c r="B11" s="9">
        <v>108.3</v>
      </c>
      <c r="C11" s="9">
        <v>-57.0</v>
      </c>
      <c r="D11" s="9">
        <v>89.5</v>
      </c>
      <c r="E11" s="14">
        <f t="shared" si="1"/>
        <v>51.3</v>
      </c>
      <c r="F11" s="14">
        <f t="shared" si="2"/>
        <v>4591.35</v>
      </c>
    </row>
    <row r="12">
      <c r="A12" s="7">
        <v>45915.0</v>
      </c>
      <c r="B12" s="9">
        <v>-134.8</v>
      </c>
      <c r="C12" s="9">
        <v>-150.0</v>
      </c>
      <c r="D12" s="9">
        <v>89.89</v>
      </c>
      <c r="E12" s="14">
        <f t="shared" si="1"/>
        <v>-284.8</v>
      </c>
      <c r="F12" s="14">
        <f t="shared" si="2"/>
        <v>-25600.672</v>
      </c>
    </row>
    <row r="13">
      <c r="A13" s="7">
        <v>45916.0</v>
      </c>
      <c r="B13" s="9">
        <v>-27.0</v>
      </c>
      <c r="C13" s="14">
        <f>-35.6*3</f>
        <v>-106.8</v>
      </c>
      <c r="D13" s="9">
        <v>89.93</v>
      </c>
      <c r="E13" s="14">
        <f t="shared" si="1"/>
        <v>-133.8</v>
      </c>
      <c r="F13" s="14">
        <f t="shared" si="2"/>
        <v>-12032.634</v>
      </c>
    </row>
    <row r="14">
      <c r="A14" s="7">
        <v>45917.0</v>
      </c>
      <c r="B14" s="9">
        <v>-424.4</v>
      </c>
      <c r="C14" s="14">
        <f>-35.9*3</f>
        <v>-107.7</v>
      </c>
      <c r="D14" s="9">
        <v>90.12</v>
      </c>
      <c r="E14" s="14">
        <f t="shared" si="1"/>
        <v>-532.1</v>
      </c>
      <c r="F14" s="14">
        <f t="shared" si="2"/>
        <v>-47952.852</v>
      </c>
    </row>
    <row r="15">
      <c r="A15" s="7">
        <v>45918.0</v>
      </c>
      <c r="B15" s="9">
        <v>-369.4</v>
      </c>
      <c r="C15" s="14">
        <f>-125.6*3</f>
        <v>-376.8</v>
      </c>
      <c r="D15" s="9">
        <v>88.9</v>
      </c>
      <c r="E15" s="14">
        <f t="shared" si="1"/>
        <v>-746.2</v>
      </c>
      <c r="F15" s="14">
        <f t="shared" si="2"/>
        <v>-66337.18</v>
      </c>
    </row>
    <row r="16">
      <c r="A16" s="7">
        <v>45919.0</v>
      </c>
      <c r="B16" s="9">
        <v>321.0</v>
      </c>
      <c r="C16" s="14">
        <f>-58.8*3</f>
        <v>-176.4</v>
      </c>
      <c r="D16" s="9">
        <v>88.72</v>
      </c>
      <c r="E16" s="14">
        <f t="shared" si="1"/>
        <v>144.6</v>
      </c>
      <c r="F16" s="14">
        <f t="shared" si="2"/>
        <v>12828.912</v>
      </c>
    </row>
    <row r="17">
      <c r="A17" s="7">
        <v>45922.0</v>
      </c>
      <c r="B17" s="9">
        <v>-329.2</v>
      </c>
      <c r="C17" s="9">
        <v>66.6</v>
      </c>
      <c r="D17" s="9">
        <v>88.43</v>
      </c>
      <c r="E17" s="14">
        <f t="shared" si="1"/>
        <v>-262.6</v>
      </c>
      <c r="F17" s="14">
        <f t="shared" si="2"/>
        <v>-23221.718</v>
      </c>
    </row>
    <row r="18">
      <c r="A18" s="7">
        <v>45923.0</v>
      </c>
      <c r="B18" s="9">
        <v>106.4</v>
      </c>
      <c r="C18" s="9">
        <v>0.0</v>
      </c>
      <c r="D18" s="9">
        <v>88.79</v>
      </c>
      <c r="E18" s="14">
        <f t="shared" si="1"/>
        <v>106.4</v>
      </c>
      <c r="F18" s="14">
        <f t="shared" si="2"/>
        <v>9447.256</v>
      </c>
    </row>
    <row r="19">
      <c r="A19" s="7">
        <v>45924.0</v>
      </c>
      <c r="B19" s="9">
        <v>17.9</v>
      </c>
      <c r="C19" s="9">
        <v>0.0</v>
      </c>
      <c r="D19" s="9">
        <v>88.67</v>
      </c>
      <c r="E19" s="14">
        <f t="shared" si="1"/>
        <v>17.9</v>
      </c>
      <c r="F19" s="14">
        <f t="shared" si="2"/>
        <v>1587.193</v>
      </c>
    </row>
    <row r="20">
      <c r="A20" s="7">
        <v>45925.0</v>
      </c>
      <c r="B20" s="9">
        <v>222.4</v>
      </c>
      <c r="C20" s="9">
        <f>-13.9*3</f>
        <v>-41.7</v>
      </c>
      <c r="D20" s="9">
        <v>88.52</v>
      </c>
      <c r="E20" s="14">
        <f t="shared" si="1"/>
        <v>180.7</v>
      </c>
      <c r="F20" s="14">
        <f t="shared" si="2"/>
        <v>15995.564</v>
      </c>
    </row>
    <row r="21">
      <c r="A21" s="7">
        <v>45926.0</v>
      </c>
      <c r="B21" s="9">
        <v>169.0</v>
      </c>
      <c r="C21" s="9">
        <v>0.0</v>
      </c>
      <c r="D21" s="9">
        <v>88.7</v>
      </c>
      <c r="E21" s="14">
        <f t="shared" si="1"/>
        <v>169</v>
      </c>
      <c r="F21" s="14">
        <f t="shared" si="2"/>
        <v>14990.3</v>
      </c>
    </row>
    <row r="22">
      <c r="A22" s="7">
        <v>45929.0</v>
      </c>
      <c r="B22" s="9">
        <v>80.0</v>
      </c>
      <c r="C22" s="9">
        <v>-17.8</v>
      </c>
      <c r="D22" s="9">
        <v>89.17</v>
      </c>
      <c r="E22" s="14">
        <f t="shared" si="1"/>
        <v>62.2</v>
      </c>
      <c r="F22" s="14">
        <f t="shared" si="2"/>
        <v>5546.374</v>
      </c>
    </row>
    <row r="23">
      <c r="A23" s="7">
        <v>45930.0</v>
      </c>
      <c r="B23" s="9">
        <v>492.7</v>
      </c>
      <c r="C23" s="9">
        <v>-16.2</v>
      </c>
      <c r="D23" s="9">
        <v>89.26</v>
      </c>
      <c r="E23" s="14">
        <f t="shared" si="1"/>
        <v>476.5</v>
      </c>
      <c r="F23" s="14">
        <f t="shared" si="2"/>
        <v>42532.39</v>
      </c>
    </row>
    <row r="24">
      <c r="A24" s="7">
        <v>45931.0</v>
      </c>
      <c r="B24" s="9">
        <v>71.5</v>
      </c>
      <c r="C24" s="9">
        <v>4.0</v>
      </c>
      <c r="D24" s="9">
        <v>89.37</v>
      </c>
      <c r="E24" s="14">
        <f t="shared" si="1"/>
        <v>75.5</v>
      </c>
      <c r="F24" s="14">
        <f t="shared" si="2"/>
        <v>6747.435</v>
      </c>
    </row>
    <row r="25">
      <c r="A25" s="7">
        <v>45932.0</v>
      </c>
      <c r="B25" s="9">
        <v>89.2</v>
      </c>
      <c r="C25" s="9">
        <v>0.0</v>
      </c>
      <c r="D25" s="9">
        <v>89.44</v>
      </c>
      <c r="E25" s="14">
        <f t="shared" si="1"/>
        <v>89.2</v>
      </c>
      <c r="F25" s="14">
        <f t="shared" si="2"/>
        <v>7978.048</v>
      </c>
    </row>
    <row r="26">
      <c r="A26" s="7">
        <v>45933.0</v>
      </c>
      <c r="B26" s="9">
        <v>-241.6</v>
      </c>
      <c r="C26" s="9">
        <v>-36.8</v>
      </c>
      <c r="D26" s="9">
        <v>89.5</v>
      </c>
      <c r="E26" s="14">
        <f t="shared" si="1"/>
        <v>-278.4</v>
      </c>
      <c r="F26" s="14">
        <f t="shared" si="2"/>
        <v>-24916.8</v>
      </c>
    </row>
    <row r="27">
      <c r="A27" s="7">
        <v>45936.0</v>
      </c>
      <c r="B27" s="9">
        <v>-133.9</v>
      </c>
      <c r="C27" s="9">
        <v>-91.5</v>
      </c>
      <c r="D27" s="9">
        <v>88.8</v>
      </c>
      <c r="E27" s="14">
        <f t="shared" si="1"/>
        <v>-225.4</v>
      </c>
      <c r="F27" s="14">
        <f t="shared" si="2"/>
        <v>-20015.52</v>
      </c>
    </row>
    <row r="28">
      <c r="A28" s="7">
        <v>45937.0</v>
      </c>
      <c r="B28" s="9">
        <v>283.6</v>
      </c>
      <c r="C28" s="14">
        <f>13.9*3</f>
        <v>41.7</v>
      </c>
      <c r="D28" s="9">
        <v>89.09</v>
      </c>
      <c r="E28" s="14">
        <f t="shared" si="1"/>
        <v>325.3</v>
      </c>
      <c r="F28" s="14">
        <f t="shared" si="2"/>
        <v>28980.977</v>
      </c>
    </row>
    <row r="29">
      <c r="A29" s="7">
        <v>45938.0</v>
      </c>
      <c r="B29" s="9">
        <v>231.7</v>
      </c>
      <c r="C29" s="9">
        <v>24.3</v>
      </c>
      <c r="D29" s="9">
        <v>89.4</v>
      </c>
      <c r="E29" s="14">
        <f t="shared" si="1"/>
        <v>256</v>
      </c>
      <c r="F29" s="14">
        <f t="shared" si="2"/>
        <v>22886.4</v>
      </c>
    </row>
    <row r="30">
      <c r="A30" s="7">
        <v>45939.0</v>
      </c>
      <c r="B30" s="9">
        <v>187.3</v>
      </c>
      <c r="C30" s="9">
        <v>-18.3</v>
      </c>
      <c r="D30" s="9">
        <v>89.16</v>
      </c>
      <c r="E30" s="14">
        <f t="shared" si="1"/>
        <v>169</v>
      </c>
      <c r="F30" s="14">
        <f t="shared" si="2"/>
        <v>15068.04</v>
      </c>
    </row>
    <row r="31">
      <c r="A31" s="7">
        <v>45940.0</v>
      </c>
      <c r="B31" s="9">
        <v>249.7</v>
      </c>
      <c r="C31" s="9">
        <v>-18.0</v>
      </c>
      <c r="D31" s="9">
        <v>90.31</v>
      </c>
      <c r="E31" s="14">
        <f t="shared" si="1"/>
        <v>231.7</v>
      </c>
      <c r="F31" s="14">
        <f t="shared" si="2"/>
        <v>20924.827</v>
      </c>
    </row>
    <row r="32">
      <c r="A32" s="7">
        <v>45943.0</v>
      </c>
      <c r="B32" s="9">
        <v>-325.9</v>
      </c>
      <c r="C32" s="14">
        <f>-16.9*3</f>
        <v>-50.7</v>
      </c>
      <c r="D32" s="9">
        <v>90.32</v>
      </c>
      <c r="E32" s="14">
        <f t="shared" si="1"/>
        <v>-376.6</v>
      </c>
      <c r="F32" s="14">
        <f t="shared" si="2"/>
        <v>-34014.512</v>
      </c>
      <c r="H32" s="132"/>
      <c r="I32" s="78"/>
      <c r="J32" s="78"/>
    </row>
    <row r="33">
      <c r="A33" s="7">
        <v>45944.0</v>
      </c>
      <c r="B33" s="9">
        <v>543.1</v>
      </c>
      <c r="C33" s="9">
        <v>-120.0</v>
      </c>
      <c r="D33" s="9">
        <v>90.74</v>
      </c>
      <c r="E33" s="14">
        <f t="shared" si="1"/>
        <v>423.1</v>
      </c>
      <c r="F33" s="14">
        <f t="shared" si="2"/>
        <v>38392.094</v>
      </c>
      <c r="H33" s="133"/>
      <c r="I33" s="45"/>
      <c r="J33" s="86"/>
      <c r="L33" s="132"/>
      <c r="M33" s="78"/>
      <c r="N33" s="78"/>
    </row>
    <row r="34">
      <c r="A34" s="7">
        <v>45945.0</v>
      </c>
      <c r="B34" s="9">
        <v>-290.7</v>
      </c>
      <c r="C34" s="9">
        <f>76.5*-3</f>
        <v>-229.5</v>
      </c>
      <c r="D34" s="9">
        <v>90.81</v>
      </c>
      <c r="E34" s="14">
        <f t="shared" si="1"/>
        <v>-520.2</v>
      </c>
      <c r="F34" s="14">
        <f t="shared" si="2"/>
        <v>-47239.362</v>
      </c>
      <c r="H34" s="134"/>
      <c r="I34" s="18"/>
      <c r="J34" s="86"/>
      <c r="L34" s="78"/>
      <c r="M34" s="115"/>
      <c r="N34" s="80"/>
    </row>
    <row r="35">
      <c r="A35" s="7">
        <v>45946.0</v>
      </c>
      <c r="B35" s="9">
        <v>-761.3</v>
      </c>
      <c r="C35" s="9">
        <v>0.0</v>
      </c>
      <c r="D35" s="9">
        <v>91.09</v>
      </c>
      <c r="E35" s="14">
        <f t="shared" si="1"/>
        <v>-761.3</v>
      </c>
      <c r="F35" s="14">
        <f t="shared" si="2"/>
        <v>-69346.817</v>
      </c>
      <c r="H35" s="133"/>
      <c r="I35" s="45"/>
      <c r="J35" s="86"/>
      <c r="L35" s="81"/>
      <c r="M35" s="81"/>
      <c r="N35" s="81"/>
    </row>
    <row r="36">
      <c r="A36" s="7">
        <v>45947.0</v>
      </c>
      <c r="B36" s="9">
        <v>9.1</v>
      </c>
      <c r="C36" s="9">
        <v>0.0</v>
      </c>
      <c r="D36" s="9">
        <v>91.13</v>
      </c>
      <c r="E36" s="14">
        <f t="shared" si="1"/>
        <v>9.1</v>
      </c>
      <c r="F36" s="14">
        <f t="shared" si="2"/>
        <v>829.283</v>
      </c>
      <c r="H36" s="134"/>
      <c r="I36" s="18"/>
      <c r="J36" s="86"/>
      <c r="L36" s="78"/>
      <c r="M36" s="115"/>
      <c r="N36" s="80"/>
    </row>
    <row r="37">
      <c r="A37" s="7">
        <v>45950.0</v>
      </c>
      <c r="B37" s="9">
        <v>291.6</v>
      </c>
      <c r="C37" s="9">
        <v>-32.1</v>
      </c>
      <c r="D37" s="9">
        <v>91.46</v>
      </c>
      <c r="E37" s="14">
        <f t="shared" si="1"/>
        <v>259.5</v>
      </c>
      <c r="F37" s="14">
        <f t="shared" si="2"/>
        <v>23733.87</v>
      </c>
      <c r="H37" s="133"/>
      <c r="I37" s="45"/>
      <c r="J37" s="86"/>
      <c r="L37" s="81"/>
      <c r="M37" s="81"/>
      <c r="N37" s="141"/>
    </row>
    <row r="38">
      <c r="A38" s="7">
        <v>45951.0</v>
      </c>
      <c r="B38" s="9">
        <v>-311.1</v>
      </c>
      <c r="C38" s="9">
        <v>0.0</v>
      </c>
      <c r="D38" s="9">
        <v>92.03</v>
      </c>
      <c r="E38" s="14">
        <f t="shared" si="1"/>
        <v>-311.1</v>
      </c>
      <c r="F38" s="14">
        <f t="shared" si="2"/>
        <v>-28630.533</v>
      </c>
      <c r="H38" s="134"/>
      <c r="I38" s="18"/>
      <c r="J38" s="86"/>
      <c r="L38" s="78"/>
      <c r="M38" s="115"/>
      <c r="N38" s="80"/>
    </row>
    <row r="39">
      <c r="A39" s="7">
        <v>45952.0</v>
      </c>
      <c r="B39" s="9">
        <v>18.4</v>
      </c>
      <c r="C39" s="14">
        <f>-26.4*3</f>
        <v>-79.2</v>
      </c>
      <c r="D39" s="9">
        <v>92.02</v>
      </c>
      <c r="E39" s="14">
        <f t="shared" si="1"/>
        <v>-60.8</v>
      </c>
      <c r="F39" s="14">
        <f t="shared" si="2"/>
        <v>-5594.816</v>
      </c>
      <c r="H39" s="134"/>
      <c r="I39" s="18"/>
      <c r="J39" s="86"/>
    </row>
    <row r="40">
      <c r="A40" s="7">
        <v>45953.0</v>
      </c>
      <c r="B40" s="9">
        <v>147.3</v>
      </c>
      <c r="C40" s="9">
        <v>0.0</v>
      </c>
      <c r="D40" s="9">
        <v>91.5</v>
      </c>
      <c r="E40" s="14">
        <f t="shared" si="1"/>
        <v>147.3</v>
      </c>
      <c r="F40" s="14">
        <f t="shared" si="2"/>
        <v>13477.95</v>
      </c>
      <c r="H40" s="134"/>
      <c r="I40" s="18"/>
      <c r="J40" s="86"/>
    </row>
    <row r="41">
      <c r="A41" s="7">
        <v>45954.0</v>
      </c>
      <c r="B41" s="9">
        <v>-91.4</v>
      </c>
      <c r="C41" s="14">
        <f>-10.8*3</f>
        <v>-32.4</v>
      </c>
      <c r="D41" s="9">
        <v>91.41</v>
      </c>
      <c r="E41" s="14">
        <f t="shared" si="1"/>
        <v>-123.8</v>
      </c>
      <c r="F41" s="14">
        <f t="shared" si="2"/>
        <v>-11316.558</v>
      </c>
      <c r="H41" s="134"/>
      <c r="I41" s="18"/>
      <c r="J41" s="86"/>
    </row>
    <row r="42">
      <c r="A42" s="7">
        <v>45957.0</v>
      </c>
      <c r="B42" s="9">
        <v>0.0</v>
      </c>
      <c r="C42" s="14">
        <f>PRODUCT(-34.5,3)</f>
        <v>-103.5</v>
      </c>
      <c r="D42" s="9">
        <v>91.8</v>
      </c>
      <c r="E42" s="14">
        <f t="shared" si="1"/>
        <v>-103.5</v>
      </c>
      <c r="F42" s="14">
        <f t="shared" si="2"/>
        <v>-9501.3</v>
      </c>
      <c r="H42" s="134"/>
      <c r="I42" s="18"/>
      <c r="J42" s="86"/>
    </row>
    <row r="43">
      <c r="A43" s="7">
        <v>45958.0</v>
      </c>
      <c r="B43" s="9">
        <v>238.5</v>
      </c>
      <c r="C43" s="9">
        <v>-6.6</v>
      </c>
      <c r="D43" s="9">
        <v>92.0</v>
      </c>
      <c r="E43" s="14">
        <f t="shared" si="1"/>
        <v>231.9</v>
      </c>
      <c r="F43" s="14">
        <f t="shared" si="2"/>
        <v>21334.8</v>
      </c>
      <c r="H43" s="134"/>
      <c r="I43" s="18"/>
      <c r="J43" s="86"/>
    </row>
    <row r="44">
      <c r="A44" s="7">
        <v>45959.0</v>
      </c>
      <c r="B44" s="9">
        <v>46.0</v>
      </c>
      <c r="C44" s="9">
        <v>-13.2</v>
      </c>
      <c r="D44" s="9">
        <v>91.33</v>
      </c>
      <c r="E44" s="14">
        <f t="shared" si="1"/>
        <v>32.8</v>
      </c>
      <c r="F44" s="14">
        <f t="shared" si="2"/>
        <v>2995.624</v>
      </c>
      <c r="H44" s="134"/>
      <c r="I44" s="18"/>
      <c r="J44" s="86"/>
    </row>
    <row r="45">
      <c r="A45" s="7">
        <v>45960.0</v>
      </c>
      <c r="B45" s="9">
        <v>-136.54</v>
      </c>
      <c r="C45" s="14">
        <f>-4.26*3</f>
        <v>-12.78</v>
      </c>
      <c r="D45" s="9">
        <v>90.63</v>
      </c>
      <c r="E45" s="14">
        <f t="shared" si="1"/>
        <v>-149.32</v>
      </c>
      <c r="F45" s="14">
        <f t="shared" si="2"/>
        <v>-13532.8716</v>
      </c>
      <c r="H45" s="136"/>
      <c r="I45" s="91"/>
      <c r="J45" s="90"/>
    </row>
    <row r="46">
      <c r="A46" s="7">
        <v>45961.0</v>
      </c>
      <c r="B46" s="9">
        <v>217.3</v>
      </c>
      <c r="C46" s="9">
        <v>6.3</v>
      </c>
      <c r="D46" s="9">
        <v>90.38</v>
      </c>
      <c r="E46" s="14">
        <f t="shared" si="1"/>
        <v>223.6</v>
      </c>
      <c r="F46" s="14">
        <f t="shared" si="2"/>
        <v>20208.968</v>
      </c>
      <c r="H46" s="91"/>
      <c r="I46" s="121"/>
      <c r="J46" s="93"/>
    </row>
    <row r="47">
      <c r="A47" s="7">
        <v>45964.0</v>
      </c>
      <c r="B47" s="9">
        <v>-18.1</v>
      </c>
      <c r="C47" s="9">
        <v>-12.3</v>
      </c>
      <c r="D47" s="9">
        <v>89.66</v>
      </c>
      <c r="E47" s="14">
        <f t="shared" si="1"/>
        <v>-30.4</v>
      </c>
      <c r="F47" s="14">
        <f t="shared" si="2"/>
        <v>-2725.664</v>
      </c>
      <c r="H47" s="94"/>
      <c r="I47" s="94"/>
      <c r="J47" s="96"/>
    </row>
    <row r="48">
      <c r="A48" s="7">
        <v>45965.0</v>
      </c>
      <c r="B48" s="9">
        <v>278.0</v>
      </c>
      <c r="C48" s="9">
        <v>24.6</v>
      </c>
      <c r="D48" s="9">
        <v>89.91</v>
      </c>
      <c r="E48" s="14">
        <f t="shared" si="1"/>
        <v>302.6</v>
      </c>
      <c r="F48" s="14">
        <f t="shared" si="2"/>
        <v>27206.766</v>
      </c>
      <c r="H48" s="91"/>
      <c r="I48" s="121"/>
      <c r="J48" s="93"/>
    </row>
    <row r="49">
      <c r="A49" s="7">
        <v>45966.0</v>
      </c>
      <c r="B49" s="9">
        <v>134.9</v>
      </c>
      <c r="C49" s="9">
        <v>-6.3</v>
      </c>
      <c r="D49" s="9">
        <v>89.13</v>
      </c>
      <c r="E49" s="14">
        <f t="shared" si="1"/>
        <v>128.6</v>
      </c>
      <c r="F49" s="14">
        <f t="shared" si="2"/>
        <v>11462.118</v>
      </c>
      <c r="H49" s="94"/>
      <c r="I49" s="94"/>
      <c r="J49" s="96"/>
    </row>
    <row r="50">
      <c r="A50" s="7">
        <v>45967.0</v>
      </c>
      <c r="B50" s="9">
        <v>204.5</v>
      </c>
      <c r="C50" s="9">
        <v>20.0</v>
      </c>
      <c r="D50" s="9">
        <v>89.71</v>
      </c>
      <c r="E50" s="14">
        <f t="shared" si="1"/>
        <v>224.5</v>
      </c>
      <c r="F50" s="14">
        <f t="shared" si="2"/>
        <v>20139.895</v>
      </c>
      <c r="H50" s="142"/>
      <c r="I50" s="91"/>
      <c r="J50" s="90"/>
    </row>
    <row r="51">
      <c r="A51" s="7">
        <v>45968.0</v>
      </c>
      <c r="B51" s="9">
        <v>143.6</v>
      </c>
      <c r="C51" s="14">
        <f>-20.5*3</f>
        <v>-61.5</v>
      </c>
      <c r="D51" s="9">
        <v>89.6</v>
      </c>
      <c r="E51" s="14">
        <f t="shared" si="1"/>
        <v>82.1</v>
      </c>
      <c r="F51" s="14">
        <f t="shared" si="2"/>
        <v>7356.16</v>
      </c>
      <c r="H51" s="136"/>
      <c r="I51" s="91"/>
      <c r="J51" s="90"/>
      <c r="L51" s="137" t="s">
        <v>162</v>
      </c>
      <c r="M51" s="33" t="s">
        <v>65</v>
      </c>
      <c r="N51" s="33" t="s">
        <v>66</v>
      </c>
    </row>
    <row r="52">
      <c r="A52" s="7">
        <v>45971.0</v>
      </c>
      <c r="B52" s="9">
        <v>134.3</v>
      </c>
      <c r="C52" s="14">
        <f>18.3*3</f>
        <v>54.9</v>
      </c>
      <c r="D52" s="9">
        <v>89.54</v>
      </c>
      <c r="E52" s="14">
        <f t="shared" si="1"/>
        <v>189.2</v>
      </c>
      <c r="F52" s="14">
        <f t="shared" si="2"/>
        <v>16940.968</v>
      </c>
      <c r="H52" s="137" t="s">
        <v>163</v>
      </c>
      <c r="I52" s="33" t="s">
        <v>65</v>
      </c>
      <c r="J52" s="98" t="s">
        <v>66</v>
      </c>
      <c r="L52" s="33" t="s">
        <v>145</v>
      </c>
      <c r="M52" s="126">
        <v>-5.8</v>
      </c>
      <c r="N52" s="103">
        <v>89.12</v>
      </c>
    </row>
    <row r="53">
      <c r="A53" s="7">
        <v>45972.0</v>
      </c>
      <c r="B53" s="9">
        <v>107.4</v>
      </c>
      <c r="C53" s="9">
        <v>-30.6</v>
      </c>
      <c r="D53" s="9">
        <v>89.93</v>
      </c>
      <c r="E53" s="14">
        <f t="shared" si="1"/>
        <v>76.8</v>
      </c>
      <c r="F53" s="14">
        <f t="shared" si="2"/>
        <v>6906.624</v>
      </c>
      <c r="H53" s="33" t="s">
        <v>145</v>
      </c>
      <c r="I53" s="139">
        <f>E57</f>
        <v>-5.8</v>
      </c>
      <c r="J53" s="100">
        <f>D57</f>
        <v>89.12</v>
      </c>
      <c r="L53" s="36"/>
      <c r="M53" s="36"/>
      <c r="N53" s="36"/>
    </row>
    <row r="54">
      <c r="A54" s="7">
        <v>45973.0</v>
      </c>
      <c r="B54" s="9">
        <v>0.0</v>
      </c>
      <c r="C54" s="9">
        <v>-12.3</v>
      </c>
      <c r="D54" s="9">
        <v>90.11</v>
      </c>
      <c r="E54" s="14">
        <f t="shared" si="1"/>
        <v>-12.3</v>
      </c>
      <c r="F54" s="14">
        <f t="shared" si="2"/>
        <v>-1108.353</v>
      </c>
      <c r="H54" s="36"/>
      <c r="I54" s="36"/>
      <c r="J54" s="54"/>
      <c r="L54" s="33" t="s">
        <v>68</v>
      </c>
      <c r="M54" s="126">
        <v>-212.5</v>
      </c>
      <c r="N54" s="103">
        <v>88.81</v>
      </c>
    </row>
    <row r="55">
      <c r="A55" s="7">
        <v>45974.0</v>
      </c>
      <c r="B55" s="9">
        <v>180.2</v>
      </c>
      <c r="C55" s="9">
        <f>-29*3</f>
        <v>-87</v>
      </c>
      <c r="D55" s="9">
        <v>89.57</v>
      </c>
      <c r="E55" s="14">
        <f t="shared" si="1"/>
        <v>93.2</v>
      </c>
      <c r="F55" s="14">
        <f t="shared" si="2"/>
        <v>8347.924</v>
      </c>
      <c r="H55" s="33" t="s">
        <v>68</v>
      </c>
      <c r="I55" s="139">
        <f>SUM(E53:E57)</f>
        <v>-212.5</v>
      </c>
      <c r="J55" s="100">
        <f>SUM(F53:F57)/I55</f>
        <v>88.80723294</v>
      </c>
      <c r="L55" s="36"/>
      <c r="M55" s="36"/>
      <c r="N55" s="36"/>
    </row>
    <row r="56">
      <c r="A56" s="7">
        <v>45975.0</v>
      </c>
      <c r="B56" s="9">
        <v>-321.8</v>
      </c>
      <c r="C56" s="14">
        <f>-14.2*3</f>
        <v>-42.6</v>
      </c>
      <c r="D56" s="9">
        <v>89.19</v>
      </c>
      <c r="E56" s="14">
        <f t="shared" si="1"/>
        <v>-364.4</v>
      </c>
      <c r="F56" s="14">
        <f t="shared" si="2"/>
        <v>-32500.836</v>
      </c>
      <c r="H56" s="36"/>
      <c r="I56" s="19"/>
      <c r="J56" s="54"/>
      <c r="L56" s="33" t="s">
        <v>69</v>
      </c>
      <c r="M56" s="131">
        <v>571.18</v>
      </c>
      <c r="N56" s="103">
        <v>89.2</v>
      </c>
    </row>
    <row r="57">
      <c r="A57" s="7">
        <v>45978.0</v>
      </c>
      <c r="B57" s="9">
        <v>-17.8</v>
      </c>
      <c r="C57" s="9">
        <v>12.0</v>
      </c>
      <c r="D57" s="9">
        <v>89.12</v>
      </c>
      <c r="E57" s="14">
        <f t="shared" si="1"/>
        <v>-5.8</v>
      </c>
      <c r="F57" s="14">
        <f t="shared" si="2"/>
        <v>-516.896</v>
      </c>
      <c r="H57" s="33" t="s">
        <v>69</v>
      </c>
      <c r="I57" s="139">
        <f>SUM(E38:E57)</f>
        <v>571.18</v>
      </c>
      <c r="J57" s="100">
        <f>SUM(F38:F57)/I57</f>
        <v>89.20124899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3" t="s">
        <v>0</v>
      </c>
      <c r="B1" s="143" t="s">
        <v>164</v>
      </c>
      <c r="C1" s="143" t="s">
        <v>165</v>
      </c>
      <c r="D1" s="143" t="s">
        <v>166</v>
      </c>
      <c r="E1" s="143" t="s">
        <v>167</v>
      </c>
      <c r="F1" s="143" t="s">
        <v>168</v>
      </c>
      <c r="G1" s="143" t="s">
        <v>151</v>
      </c>
      <c r="H1" s="143" t="s">
        <v>3</v>
      </c>
    </row>
    <row r="2">
      <c r="A2" s="75">
        <v>45898.0</v>
      </c>
      <c r="B2" s="9">
        <v>244.2</v>
      </c>
      <c r="C2" s="9">
        <v>-9.0</v>
      </c>
      <c r="D2" s="9"/>
      <c r="E2" s="9"/>
      <c r="F2" s="9">
        <v>0.0</v>
      </c>
      <c r="G2" s="9">
        <v>0.0</v>
      </c>
      <c r="H2" s="9">
        <v>0.0</v>
      </c>
    </row>
    <row r="3">
      <c r="A3" s="7">
        <v>45902.0</v>
      </c>
      <c r="B3" s="9">
        <v>0.0</v>
      </c>
      <c r="C3" s="9">
        <v>58.2</v>
      </c>
      <c r="D3" s="9"/>
      <c r="E3" s="9"/>
      <c r="F3" s="9">
        <v>0.0</v>
      </c>
      <c r="G3" s="9">
        <v>0.0</v>
      </c>
      <c r="H3" s="9">
        <v>0.0</v>
      </c>
    </row>
    <row r="4">
      <c r="A4" s="7">
        <v>45903.0</v>
      </c>
      <c r="B4" s="9">
        <v>-123.0</v>
      </c>
      <c r="C4" s="9">
        <v>0.0</v>
      </c>
      <c r="D4" s="9"/>
      <c r="E4" s="9"/>
      <c r="F4" s="9">
        <v>0.0</v>
      </c>
      <c r="G4" s="9">
        <v>0.0</v>
      </c>
      <c r="H4" s="9">
        <v>0.0</v>
      </c>
    </row>
    <row r="5">
      <c r="A5" s="7">
        <v>45904.0</v>
      </c>
      <c r="B5" s="9">
        <v>-43.0</v>
      </c>
      <c r="C5" s="9">
        <v>-6.4</v>
      </c>
      <c r="D5" s="9"/>
      <c r="E5" s="9"/>
      <c r="F5" s="9">
        <v>0.0</v>
      </c>
      <c r="G5" s="9">
        <v>0.0</v>
      </c>
      <c r="H5" s="9">
        <v>0.0</v>
      </c>
    </row>
    <row r="6">
      <c r="A6" s="7">
        <v>45905.0</v>
      </c>
      <c r="B6" s="9">
        <v>3.2</v>
      </c>
      <c r="C6" s="9">
        <v>2.0</v>
      </c>
      <c r="D6" s="9"/>
      <c r="E6" s="9"/>
      <c r="F6" s="9">
        <v>0.0</v>
      </c>
      <c r="G6" s="9">
        <v>0.0</v>
      </c>
      <c r="H6" s="9">
        <v>0.0</v>
      </c>
    </row>
    <row r="7">
      <c r="A7" s="7">
        <v>45908.0</v>
      </c>
      <c r="B7" s="9">
        <v>-82.2</v>
      </c>
      <c r="C7" s="9">
        <v>28.0</v>
      </c>
      <c r="D7" s="9"/>
      <c r="E7" s="9"/>
      <c r="F7" s="9">
        <v>168.53</v>
      </c>
      <c r="G7" s="9">
        <f t="shared" ref="G7:G10" si="1">SUM(B7:C7)</f>
        <v>-54.2</v>
      </c>
      <c r="H7" s="9">
        <f t="shared" ref="H7:H29" si="2">G7*F7</f>
        <v>-9134.326</v>
      </c>
    </row>
    <row r="8">
      <c r="A8" s="7">
        <v>45909.0</v>
      </c>
      <c r="B8" s="9">
        <v>140.6</v>
      </c>
      <c r="C8" s="9">
        <v>4.6</v>
      </c>
      <c r="D8" s="9"/>
      <c r="E8" s="9"/>
      <c r="F8" s="9">
        <v>169.38</v>
      </c>
      <c r="G8" s="9">
        <f t="shared" si="1"/>
        <v>145.2</v>
      </c>
      <c r="H8" s="9">
        <f t="shared" si="2"/>
        <v>24593.976</v>
      </c>
    </row>
    <row r="9">
      <c r="A9" s="7">
        <v>45910.0</v>
      </c>
      <c r="B9" s="9">
        <f>-163.8*2</f>
        <v>-327.6</v>
      </c>
      <c r="C9" s="9">
        <v>-10.4</v>
      </c>
      <c r="D9" s="9"/>
      <c r="E9" s="9"/>
      <c r="F9" s="9">
        <v>177.17</v>
      </c>
      <c r="G9" s="9">
        <f t="shared" si="1"/>
        <v>-338</v>
      </c>
      <c r="H9" s="9">
        <f t="shared" si="2"/>
        <v>-59883.46</v>
      </c>
    </row>
    <row r="10">
      <c r="A10" s="7">
        <v>45911.0</v>
      </c>
      <c r="B10" s="9">
        <v>-25.6</v>
      </c>
      <c r="C10" s="9">
        <v>9.0</v>
      </c>
      <c r="D10" s="9"/>
      <c r="E10" s="9"/>
      <c r="F10" s="9">
        <v>178.4</v>
      </c>
      <c r="G10" s="9">
        <f t="shared" si="1"/>
        <v>-16.6</v>
      </c>
      <c r="H10" s="9">
        <f t="shared" si="2"/>
        <v>-2961.44</v>
      </c>
    </row>
    <row r="11">
      <c r="A11" s="7">
        <v>45912.0</v>
      </c>
      <c r="B11" s="9">
        <v>-88.8</v>
      </c>
      <c r="C11" s="9">
        <v>-9.0</v>
      </c>
      <c r="D11" s="9">
        <v>-2.4</v>
      </c>
      <c r="E11" s="9">
        <f>-63.1*2</f>
        <v>-126.2</v>
      </c>
      <c r="F11" s="9">
        <v>177.66</v>
      </c>
      <c r="G11" s="9">
        <f t="shared" ref="G11:G57" si="3">SUM(B11:E11)</f>
        <v>-226.4</v>
      </c>
      <c r="H11" s="9">
        <f t="shared" si="2"/>
        <v>-40222.224</v>
      </c>
    </row>
    <row r="12">
      <c r="A12" s="7">
        <v>45915.0</v>
      </c>
      <c r="B12" s="9">
        <v>10.4</v>
      </c>
      <c r="C12" s="9">
        <v>16.8</v>
      </c>
      <c r="D12" s="9">
        <v>-6.4</v>
      </c>
      <c r="E12" s="9">
        <v>-12.2</v>
      </c>
      <c r="F12" s="9">
        <v>176.7</v>
      </c>
      <c r="G12" s="9">
        <f t="shared" si="3"/>
        <v>8.6</v>
      </c>
      <c r="H12" s="9">
        <f t="shared" si="2"/>
        <v>1519.62</v>
      </c>
    </row>
    <row r="13">
      <c r="A13" s="7">
        <v>45916.0</v>
      </c>
      <c r="B13" s="9">
        <v>127.2</v>
      </c>
      <c r="C13" s="9">
        <v>-5.8</v>
      </c>
      <c r="D13" s="9">
        <v>-16.6</v>
      </c>
      <c r="E13" s="9">
        <f>57.4*2</f>
        <v>114.8</v>
      </c>
      <c r="F13" s="9">
        <v>175.94</v>
      </c>
      <c r="G13" s="9">
        <f t="shared" si="3"/>
        <v>219.6</v>
      </c>
      <c r="H13" s="9">
        <f t="shared" si="2"/>
        <v>38636.424</v>
      </c>
    </row>
    <row r="14">
      <c r="A14" s="7">
        <v>45917.0</v>
      </c>
      <c r="B14" s="9">
        <v>212.8</v>
      </c>
      <c r="C14" s="9">
        <v>3.6</v>
      </c>
      <c r="D14" s="9">
        <v>0.0</v>
      </c>
      <c r="E14" s="9">
        <f>-58.4*2</f>
        <v>-116.8</v>
      </c>
      <c r="F14" s="9">
        <v>171.14</v>
      </c>
      <c r="G14" s="9">
        <f t="shared" si="3"/>
        <v>99.6</v>
      </c>
      <c r="H14" s="9">
        <f t="shared" si="2"/>
        <v>17045.544</v>
      </c>
    </row>
    <row r="15">
      <c r="A15" s="7">
        <v>45918.0</v>
      </c>
      <c r="B15" s="9">
        <v>-143.2</v>
      </c>
      <c r="C15" s="9">
        <v>-2.2</v>
      </c>
      <c r="D15" s="9">
        <v>3.2</v>
      </c>
      <c r="E15" s="9">
        <f>121.8</f>
        <v>121.8</v>
      </c>
      <c r="F15" s="9">
        <v>175.07</v>
      </c>
      <c r="G15" s="9">
        <f t="shared" si="3"/>
        <v>-20.4</v>
      </c>
      <c r="H15" s="9">
        <f t="shared" si="2"/>
        <v>-3571.428</v>
      </c>
    </row>
    <row r="16">
      <c r="A16" s="7">
        <v>45919.0</v>
      </c>
      <c r="B16" s="9">
        <v>203.6</v>
      </c>
      <c r="C16" s="9">
        <v>-15.4</v>
      </c>
      <c r="D16" s="9">
        <v>4.8</v>
      </c>
      <c r="E16" s="9">
        <v>-148.0</v>
      </c>
      <c r="F16" s="9">
        <v>176.43</v>
      </c>
      <c r="G16" s="9">
        <f t="shared" si="3"/>
        <v>45</v>
      </c>
      <c r="H16" s="9">
        <f t="shared" si="2"/>
        <v>7939.35</v>
      </c>
    </row>
    <row r="17">
      <c r="A17" s="7">
        <v>45922.0</v>
      </c>
      <c r="B17" s="9">
        <f>-79.4*2</f>
        <v>-158.8</v>
      </c>
      <c r="C17" s="9">
        <v>-10.0</v>
      </c>
      <c r="D17" s="9">
        <v>23.2</v>
      </c>
      <c r="E17" s="9">
        <v>0.0</v>
      </c>
      <c r="F17" s="9">
        <v>179.54</v>
      </c>
      <c r="G17" s="9">
        <f t="shared" si="3"/>
        <v>-145.6</v>
      </c>
      <c r="H17" s="9">
        <f t="shared" si="2"/>
        <v>-26141.024</v>
      </c>
    </row>
    <row r="18">
      <c r="A18" s="7">
        <v>45923.0</v>
      </c>
      <c r="B18" s="9">
        <v>-16.4</v>
      </c>
      <c r="C18" s="9">
        <v>12.4</v>
      </c>
      <c r="D18" s="9">
        <v>-28.0</v>
      </c>
      <c r="E18" s="9">
        <v>-12.8</v>
      </c>
      <c r="F18" s="9">
        <v>179.76</v>
      </c>
      <c r="G18" s="9">
        <f t="shared" si="3"/>
        <v>-44.8</v>
      </c>
      <c r="H18" s="9">
        <f t="shared" si="2"/>
        <v>-8053.248</v>
      </c>
    </row>
    <row r="19">
      <c r="A19" s="7">
        <v>45924.0</v>
      </c>
      <c r="B19" s="9">
        <v>-70.4</v>
      </c>
      <c r="C19" s="9">
        <v>-9.2</v>
      </c>
      <c r="D19" s="9">
        <v>4.6</v>
      </c>
      <c r="E19" s="9">
        <v>6.0</v>
      </c>
      <c r="F19" s="9">
        <v>177.98</v>
      </c>
      <c r="G19" s="9">
        <f t="shared" si="3"/>
        <v>-69</v>
      </c>
      <c r="H19" s="9">
        <f t="shared" si="2"/>
        <v>-12280.62</v>
      </c>
    </row>
    <row r="20">
      <c r="A20" s="7">
        <v>45925.0</v>
      </c>
      <c r="B20" s="9">
        <v>-123.2</v>
      </c>
      <c r="C20" s="9">
        <v>3.2</v>
      </c>
      <c r="D20" s="9">
        <v>0.0</v>
      </c>
      <c r="E20" s="9">
        <v>0.0</v>
      </c>
      <c r="F20" s="9">
        <v>176.39</v>
      </c>
      <c r="G20" s="9">
        <f t="shared" si="3"/>
        <v>-120</v>
      </c>
      <c r="H20" s="9">
        <f t="shared" si="2"/>
        <v>-21166.8</v>
      </c>
    </row>
    <row r="21">
      <c r="A21" s="7">
        <v>45926.0</v>
      </c>
      <c r="B21" s="9">
        <v>1.7</v>
      </c>
      <c r="C21" s="9">
        <v>-1.0</v>
      </c>
      <c r="D21" s="9">
        <v>16.8</v>
      </c>
      <c r="E21" s="9">
        <v>0.0</v>
      </c>
      <c r="F21" s="9">
        <v>177.77</v>
      </c>
      <c r="G21" s="9">
        <f t="shared" si="3"/>
        <v>17.5</v>
      </c>
      <c r="H21" s="9">
        <f t="shared" si="2"/>
        <v>3110.975</v>
      </c>
    </row>
    <row r="22">
      <c r="A22" s="7">
        <v>45929.0</v>
      </c>
      <c r="B22" s="9">
        <v>251.6</v>
      </c>
      <c r="C22" s="9">
        <v>-23.8</v>
      </c>
      <c r="D22" s="9">
        <v>0.0</v>
      </c>
      <c r="E22" s="9">
        <v>0.0</v>
      </c>
      <c r="F22" s="9">
        <v>181.65</v>
      </c>
      <c r="G22" s="9">
        <f t="shared" si="3"/>
        <v>227.8</v>
      </c>
      <c r="H22" s="9">
        <f t="shared" si="2"/>
        <v>41379.87</v>
      </c>
    </row>
    <row r="23">
      <c r="A23" s="7">
        <v>45930.0</v>
      </c>
      <c r="B23" s="9">
        <v>-82.0</v>
      </c>
      <c r="C23" s="9">
        <v>-69.2</v>
      </c>
      <c r="D23" s="9">
        <f>-34.7*2</f>
        <v>-69.4</v>
      </c>
      <c r="E23" s="9">
        <v>-25.0</v>
      </c>
      <c r="F23" s="9">
        <v>184.37</v>
      </c>
      <c r="G23" s="9">
        <f t="shared" si="3"/>
        <v>-245.6</v>
      </c>
      <c r="H23" s="9">
        <f t="shared" si="2"/>
        <v>-45281.272</v>
      </c>
    </row>
    <row r="24">
      <c r="A24" s="7">
        <v>45931.0</v>
      </c>
      <c r="B24" s="9">
        <v>-127.4</v>
      </c>
      <c r="C24" s="9">
        <v>-1.0</v>
      </c>
      <c r="D24" s="9">
        <v>0.0</v>
      </c>
      <c r="E24" s="9">
        <v>-26.2</v>
      </c>
      <c r="F24" s="9">
        <v>186.13</v>
      </c>
      <c r="G24" s="9">
        <f t="shared" si="3"/>
        <v>-154.6</v>
      </c>
      <c r="H24" s="9">
        <f t="shared" si="2"/>
        <v>-28775.698</v>
      </c>
    </row>
    <row r="25">
      <c r="A25" s="7">
        <v>45932.0</v>
      </c>
      <c r="B25" s="9">
        <v>-20.8</v>
      </c>
      <c r="C25" s="9">
        <v>7.8</v>
      </c>
      <c r="D25" s="9">
        <v>-6.2</v>
      </c>
      <c r="E25" s="9">
        <v>-13.2</v>
      </c>
      <c r="F25" s="9">
        <v>189.4</v>
      </c>
      <c r="G25" s="9">
        <f t="shared" si="3"/>
        <v>-32.4</v>
      </c>
      <c r="H25" s="9">
        <f t="shared" si="2"/>
        <v>-6136.56</v>
      </c>
    </row>
    <row r="26">
      <c r="A26" s="7">
        <v>45933.0</v>
      </c>
      <c r="B26" s="9">
        <v>-138.2</v>
      </c>
      <c r="C26" s="9">
        <v>-2.0</v>
      </c>
      <c r="D26" s="9">
        <v>-20.4</v>
      </c>
      <c r="E26" s="9">
        <v>-6.8</v>
      </c>
      <c r="F26" s="9">
        <v>188.14</v>
      </c>
      <c r="G26" s="9">
        <f t="shared" si="3"/>
        <v>-167.4</v>
      </c>
      <c r="H26" s="9">
        <f t="shared" si="2"/>
        <v>-31494.636</v>
      </c>
    </row>
    <row r="27">
      <c r="A27" s="7">
        <v>45936.0</v>
      </c>
      <c r="B27" s="9">
        <v>-100.2</v>
      </c>
      <c r="C27" s="9">
        <v>24.8</v>
      </c>
      <c r="D27" s="9">
        <f>-29</f>
        <v>-29</v>
      </c>
      <c r="E27" s="9">
        <f>-16.6*2</f>
        <v>-33.2</v>
      </c>
      <c r="F27" s="9">
        <v>185.4</v>
      </c>
      <c r="G27" s="9">
        <f t="shared" si="3"/>
        <v>-137.6</v>
      </c>
      <c r="H27" s="14">
        <f t="shared" si="2"/>
        <v>-25511.04</v>
      </c>
    </row>
    <row r="28">
      <c r="A28" s="7">
        <v>45937.0</v>
      </c>
      <c r="B28" s="14">
        <f>-68.4*2</f>
        <v>-136.8</v>
      </c>
      <c r="C28" s="9">
        <v>-5.4</v>
      </c>
      <c r="D28" s="9">
        <v>0.0</v>
      </c>
      <c r="E28" s="9">
        <v>0.0</v>
      </c>
      <c r="F28" s="9">
        <v>186.08</v>
      </c>
      <c r="G28" s="9">
        <f t="shared" si="3"/>
        <v>-142.2</v>
      </c>
      <c r="H28" s="14">
        <f t="shared" si="2"/>
        <v>-26460.576</v>
      </c>
    </row>
    <row r="29">
      <c r="A29" s="7">
        <v>45938.0</v>
      </c>
      <c r="B29" s="9">
        <v>-110.4</v>
      </c>
      <c r="C29" s="9">
        <v>-5.6</v>
      </c>
      <c r="D29" s="9">
        <v>0.0</v>
      </c>
      <c r="E29" s="144">
        <f>154.5*2</f>
        <v>309</v>
      </c>
      <c r="F29" s="9">
        <v>187.96</v>
      </c>
      <c r="G29" s="9">
        <f t="shared" si="3"/>
        <v>193</v>
      </c>
      <c r="H29" s="14">
        <f t="shared" si="2"/>
        <v>36276.28</v>
      </c>
    </row>
    <row r="30">
      <c r="A30" s="7">
        <v>45939.0</v>
      </c>
      <c r="B30" s="9">
        <v>-32.6</v>
      </c>
      <c r="C30" s="9">
        <v>21.6</v>
      </c>
      <c r="D30" s="9">
        <v>-19.8</v>
      </c>
      <c r="E30" s="144">
        <f>-137.7*2</f>
        <v>-275.4</v>
      </c>
      <c r="F30" s="9">
        <v>192.79</v>
      </c>
      <c r="G30" s="9">
        <f t="shared" si="3"/>
        <v>-306.2</v>
      </c>
      <c r="H30" s="14">
        <f t="shared" ref="H30:H57" si="4">F30*G30</f>
        <v>-59032.298</v>
      </c>
    </row>
    <row r="31">
      <c r="A31" s="7">
        <v>45940.0</v>
      </c>
      <c r="B31" s="9">
        <v>19.8</v>
      </c>
      <c r="C31" s="9">
        <v>-13.0</v>
      </c>
      <c r="D31" s="9">
        <v>-19.8</v>
      </c>
      <c r="E31" s="144">
        <f>132.2*2</f>
        <v>264.4</v>
      </c>
      <c r="F31" s="9">
        <v>188.58</v>
      </c>
      <c r="G31" s="9">
        <f t="shared" si="3"/>
        <v>251.4</v>
      </c>
      <c r="H31" s="14">
        <f t="shared" si="4"/>
        <v>47409.012</v>
      </c>
    </row>
    <row r="32">
      <c r="A32" s="7">
        <v>45943.0</v>
      </c>
      <c r="B32" s="14">
        <f>-35.8*2</f>
        <v>-71.6</v>
      </c>
      <c r="C32" s="9">
        <f>19.4*2</f>
        <v>38.8</v>
      </c>
      <c r="D32" s="14">
        <f>-15.9*2</f>
        <v>-31.8</v>
      </c>
      <c r="E32" s="14">
        <f>-131.7*2</f>
        <v>-263.4</v>
      </c>
      <c r="F32" s="9">
        <v>188.09</v>
      </c>
      <c r="G32" s="14">
        <f t="shared" si="3"/>
        <v>-328</v>
      </c>
      <c r="H32" s="14">
        <f t="shared" si="4"/>
        <v>-61693.52</v>
      </c>
      <c r="J32" s="132"/>
      <c r="K32" s="78"/>
      <c r="L32" s="78"/>
    </row>
    <row r="33">
      <c r="A33" s="7">
        <v>45944.0</v>
      </c>
      <c r="B33" s="9">
        <v>172.2</v>
      </c>
      <c r="C33" s="9">
        <v>17.6</v>
      </c>
      <c r="D33" s="9">
        <v>-70.2</v>
      </c>
      <c r="E33" s="14">
        <f>132.5*2</f>
        <v>265</v>
      </c>
      <c r="F33" s="9">
        <v>181.51</v>
      </c>
      <c r="G33" s="14">
        <f t="shared" si="3"/>
        <v>384.6</v>
      </c>
      <c r="H33" s="14">
        <f t="shared" si="4"/>
        <v>69808.746</v>
      </c>
      <c r="J33" s="133"/>
      <c r="K33" s="45"/>
      <c r="L33" s="45"/>
      <c r="N33" s="132"/>
      <c r="O33" s="78"/>
      <c r="P33" s="78"/>
    </row>
    <row r="34">
      <c r="A34" s="7">
        <v>45945.0</v>
      </c>
      <c r="B34" s="14">
        <f>262.3*2</f>
        <v>524.6</v>
      </c>
      <c r="C34" s="9">
        <v>8.6</v>
      </c>
      <c r="D34" s="9">
        <v>0.0</v>
      </c>
      <c r="E34" s="14">
        <f>-117.8*2</f>
        <v>-235.6</v>
      </c>
      <c r="F34" s="9">
        <v>180.66</v>
      </c>
      <c r="G34" s="14">
        <f t="shared" si="3"/>
        <v>297.6</v>
      </c>
      <c r="H34" s="14">
        <f t="shared" si="4"/>
        <v>53764.416</v>
      </c>
      <c r="J34" s="134"/>
      <c r="K34" s="18"/>
      <c r="L34" s="18"/>
      <c r="N34" s="78"/>
      <c r="O34" s="115"/>
      <c r="P34" s="115"/>
    </row>
    <row r="35">
      <c r="A35" s="7">
        <v>45946.0</v>
      </c>
      <c r="B35" s="9">
        <v>-44.8</v>
      </c>
      <c r="C35" s="9">
        <v>-1.2</v>
      </c>
      <c r="D35" s="9">
        <v>0.0</v>
      </c>
      <c r="E35" s="14">
        <f>123.5*2</f>
        <v>247</v>
      </c>
      <c r="F35" s="9">
        <v>181.62</v>
      </c>
      <c r="G35" s="14">
        <f t="shared" si="3"/>
        <v>201</v>
      </c>
      <c r="H35" s="14">
        <f t="shared" si="4"/>
        <v>36505.62</v>
      </c>
      <c r="J35" s="133"/>
      <c r="K35" s="45"/>
      <c r="L35" s="86"/>
      <c r="N35" s="145"/>
      <c r="O35" s="81"/>
      <c r="P35" s="81"/>
    </row>
    <row r="36">
      <c r="A36" s="7">
        <v>45947.0</v>
      </c>
      <c r="B36" s="9">
        <v>-3.6</v>
      </c>
      <c r="C36" s="9">
        <v>2.8</v>
      </c>
      <c r="D36" s="9">
        <v>21.2</v>
      </c>
      <c r="E36" s="9">
        <v>-264.6</v>
      </c>
      <c r="F36" s="9">
        <v>182.36</v>
      </c>
      <c r="G36" s="14">
        <f t="shared" si="3"/>
        <v>-244.2</v>
      </c>
      <c r="H36" s="14">
        <f t="shared" si="4"/>
        <v>-44532.312</v>
      </c>
      <c r="J36" s="134"/>
      <c r="K36" s="18"/>
      <c r="L36" s="86"/>
      <c r="N36" s="78"/>
      <c r="O36" s="115"/>
      <c r="P36" s="83"/>
    </row>
    <row r="37">
      <c r="A37" s="7">
        <v>45950.0</v>
      </c>
      <c r="B37" s="9">
        <v>16.0</v>
      </c>
      <c r="C37" s="9">
        <v>0.0</v>
      </c>
      <c r="D37" s="9">
        <v>89.0</v>
      </c>
      <c r="E37" s="9">
        <v>90.0</v>
      </c>
      <c r="F37" s="9">
        <v>183.19</v>
      </c>
      <c r="G37" s="14">
        <f t="shared" si="3"/>
        <v>195</v>
      </c>
      <c r="H37" s="14">
        <f t="shared" si="4"/>
        <v>35722.05</v>
      </c>
      <c r="J37" s="133"/>
      <c r="K37" s="45"/>
      <c r="L37" s="86"/>
      <c r="N37" s="145"/>
      <c r="O37" s="81"/>
      <c r="P37" s="81"/>
    </row>
    <row r="38">
      <c r="A38" s="7">
        <v>45951.0</v>
      </c>
      <c r="B38" s="9">
        <v>0.0</v>
      </c>
      <c r="C38" s="14">
        <f>12.8*2</f>
        <v>25.6</v>
      </c>
      <c r="D38" s="14">
        <f>9.9*2</f>
        <v>19.8</v>
      </c>
      <c r="E38" s="14">
        <f>117.8*2</f>
        <v>235.6</v>
      </c>
      <c r="F38" s="9">
        <v>181.25</v>
      </c>
      <c r="G38" s="14">
        <f t="shared" si="3"/>
        <v>281</v>
      </c>
      <c r="H38" s="14">
        <f t="shared" si="4"/>
        <v>50931.25</v>
      </c>
      <c r="J38" s="134"/>
      <c r="K38" s="134"/>
      <c r="L38" s="134"/>
      <c r="N38" s="78"/>
      <c r="O38" s="115"/>
      <c r="P38" s="83"/>
    </row>
    <row r="39">
      <c r="A39" s="7">
        <v>45952.0</v>
      </c>
      <c r="B39" s="9">
        <v>-24.4</v>
      </c>
      <c r="C39" s="9">
        <v>-17.6</v>
      </c>
      <c r="D39" s="9">
        <v>36.6</v>
      </c>
      <c r="E39" s="9">
        <v>-244.0</v>
      </c>
      <c r="F39" s="9">
        <v>180.16</v>
      </c>
      <c r="G39" s="14">
        <f t="shared" si="3"/>
        <v>-249.4</v>
      </c>
      <c r="H39" s="14">
        <f t="shared" si="4"/>
        <v>-44931.904</v>
      </c>
      <c r="J39" s="134"/>
      <c r="K39" s="18"/>
      <c r="L39" s="86"/>
    </row>
    <row r="40">
      <c r="A40" s="7">
        <v>45953.0</v>
      </c>
      <c r="B40" s="9">
        <f>-39.7*2</f>
        <v>-79.4</v>
      </c>
      <c r="C40" s="14">
        <f>6.3*2</f>
        <v>12.6</v>
      </c>
      <c r="D40" s="9">
        <v>0.0</v>
      </c>
      <c r="E40" s="9">
        <v>6.0</v>
      </c>
      <c r="F40" s="9">
        <v>181.66</v>
      </c>
      <c r="G40" s="14">
        <f t="shared" si="3"/>
        <v>-60.8</v>
      </c>
      <c r="H40" s="14">
        <f t="shared" si="4"/>
        <v>-11044.928</v>
      </c>
      <c r="J40" s="134"/>
      <c r="K40" s="18"/>
      <c r="L40" s="86"/>
    </row>
    <row r="41">
      <c r="A41" s="7">
        <v>45954.0</v>
      </c>
      <c r="B41" s="9">
        <v>-121.6</v>
      </c>
      <c r="C41" s="9">
        <v>-4.0</v>
      </c>
      <c r="D41" s="9">
        <v>-22.2</v>
      </c>
      <c r="E41" s="9">
        <v>-24.6</v>
      </c>
      <c r="F41" s="9">
        <v>185.74</v>
      </c>
      <c r="G41" s="14">
        <f t="shared" si="3"/>
        <v>-172.4</v>
      </c>
      <c r="H41" s="14">
        <f t="shared" si="4"/>
        <v>-32021.576</v>
      </c>
      <c r="J41" s="134"/>
      <c r="K41" s="18"/>
      <c r="L41" s="86"/>
    </row>
    <row r="42">
      <c r="A42" s="7">
        <v>45957.0</v>
      </c>
      <c r="B42" s="14">
        <f>-35.9*2</f>
        <v>-71.8</v>
      </c>
      <c r="C42" s="9">
        <v>0.0</v>
      </c>
      <c r="D42" s="9">
        <v>-24.6</v>
      </c>
      <c r="E42" s="9">
        <v>-6.4</v>
      </c>
      <c r="F42" s="9">
        <v>190.66</v>
      </c>
      <c r="G42" s="14">
        <f t="shared" si="3"/>
        <v>-102.8</v>
      </c>
      <c r="H42" s="14">
        <f t="shared" si="4"/>
        <v>-19599.848</v>
      </c>
      <c r="J42" s="134"/>
      <c r="K42" s="18"/>
      <c r="L42" s="86"/>
    </row>
    <row r="43">
      <c r="A43" s="7">
        <v>45958.0</v>
      </c>
      <c r="B43" s="14">
        <f>-128.2*2</f>
        <v>-256.4</v>
      </c>
      <c r="C43" s="9">
        <v>-52.4</v>
      </c>
      <c r="D43" s="9">
        <v>-41.8</v>
      </c>
      <c r="E43" s="9">
        <v>-6.8</v>
      </c>
      <c r="F43" s="9">
        <v>198.7</v>
      </c>
      <c r="G43" s="14">
        <f t="shared" si="3"/>
        <v>-357.4</v>
      </c>
      <c r="H43" s="14">
        <f t="shared" si="4"/>
        <v>-71015.38</v>
      </c>
      <c r="J43" s="134"/>
      <c r="K43" s="18"/>
      <c r="L43" s="86"/>
    </row>
    <row r="44">
      <c r="A44" s="7">
        <v>45959.0</v>
      </c>
      <c r="B44" s="9">
        <v>8.6</v>
      </c>
      <c r="C44" s="9">
        <v>-91.6</v>
      </c>
      <c r="D44" s="9">
        <v>-29.0</v>
      </c>
      <c r="E44" s="9">
        <v>-7.4</v>
      </c>
      <c r="F44" s="9">
        <v>208.0</v>
      </c>
      <c r="G44" s="14">
        <f t="shared" si="3"/>
        <v>-119.4</v>
      </c>
      <c r="H44" s="14">
        <f t="shared" si="4"/>
        <v>-24835.2</v>
      </c>
      <c r="J44" s="134"/>
      <c r="K44" s="18"/>
      <c r="L44" s="86"/>
    </row>
    <row r="45">
      <c r="A45" s="7">
        <v>45960.0</v>
      </c>
      <c r="B45" s="9">
        <v>-11.4</v>
      </c>
      <c r="C45" s="14">
        <f>31.6*2</f>
        <v>63.2</v>
      </c>
      <c r="D45" s="14">
        <f>-18.85*2</f>
        <v>-37.7</v>
      </c>
      <c r="E45" s="9">
        <v>-8.0</v>
      </c>
      <c r="F45" s="9">
        <v>203.49</v>
      </c>
      <c r="G45" s="14">
        <f t="shared" si="3"/>
        <v>6.1</v>
      </c>
      <c r="H45" s="14">
        <f t="shared" si="4"/>
        <v>1241.289</v>
      </c>
      <c r="J45" s="134"/>
      <c r="K45" s="18"/>
      <c r="L45" s="86"/>
    </row>
    <row r="46">
      <c r="A46" s="7">
        <v>45961.0</v>
      </c>
      <c r="B46" s="14">
        <f>-23.9*2</f>
        <v>-47.8</v>
      </c>
      <c r="C46" s="9">
        <v>15.8</v>
      </c>
      <c r="D46" s="9">
        <v>-30.0</v>
      </c>
      <c r="E46" s="9">
        <v>9.0</v>
      </c>
      <c r="F46" s="9">
        <v>204.18</v>
      </c>
      <c r="G46" s="14">
        <f t="shared" si="3"/>
        <v>-53</v>
      </c>
      <c r="H46" s="14">
        <f t="shared" si="4"/>
        <v>-10821.54</v>
      </c>
      <c r="J46" s="136"/>
      <c r="K46" s="91"/>
      <c r="L46" s="90"/>
    </row>
    <row r="47">
      <c r="A47" s="7">
        <v>45964.0</v>
      </c>
      <c r="B47" s="14">
        <f>-127.4*2</f>
        <v>-254.8</v>
      </c>
      <c r="C47" s="9">
        <v>-9.8</v>
      </c>
      <c r="D47" s="9">
        <v>0.0</v>
      </c>
      <c r="E47" s="9">
        <v>-15.2</v>
      </c>
      <c r="F47" s="9">
        <v>207.93</v>
      </c>
      <c r="G47" s="14">
        <f t="shared" si="3"/>
        <v>-279.8</v>
      </c>
      <c r="H47" s="14">
        <f t="shared" si="4"/>
        <v>-58178.814</v>
      </c>
      <c r="J47" s="91"/>
      <c r="K47" s="121"/>
      <c r="L47" s="93"/>
    </row>
    <row r="48">
      <c r="A48" s="7">
        <v>45965.0</v>
      </c>
      <c r="B48" s="9">
        <v>72.0</v>
      </c>
      <c r="C48" s="9">
        <v>-1.6</v>
      </c>
      <c r="D48" s="9">
        <v>-21.0</v>
      </c>
      <c r="E48" s="9">
        <v>0.0</v>
      </c>
      <c r="F48" s="9">
        <v>200.2</v>
      </c>
      <c r="G48" s="14">
        <f t="shared" si="3"/>
        <v>49.4</v>
      </c>
      <c r="H48" s="14">
        <f t="shared" si="4"/>
        <v>9889.88</v>
      </c>
      <c r="J48" s="94"/>
      <c r="K48" s="94"/>
      <c r="L48" s="96"/>
    </row>
    <row r="49">
      <c r="A49" s="7">
        <v>45966.0</v>
      </c>
      <c r="B49" s="9">
        <v>0.0</v>
      </c>
      <c r="C49" s="9">
        <v>10.6</v>
      </c>
      <c r="D49" s="9">
        <v>50.6</v>
      </c>
      <c r="E49" s="9">
        <v>0.0</v>
      </c>
      <c r="F49" s="9">
        <v>197.59</v>
      </c>
      <c r="G49" s="14">
        <f t="shared" si="3"/>
        <v>61.2</v>
      </c>
      <c r="H49" s="14">
        <f t="shared" si="4"/>
        <v>12092.508</v>
      </c>
      <c r="J49" s="91"/>
      <c r="K49" s="121"/>
      <c r="L49" s="93"/>
    </row>
    <row r="50">
      <c r="A50" s="7">
        <v>45967.0</v>
      </c>
      <c r="B50" s="9">
        <v>8.0</v>
      </c>
      <c r="C50" s="9">
        <v>48.0</v>
      </c>
      <c r="D50" s="9">
        <v>0.0</v>
      </c>
      <c r="E50" s="9">
        <v>0.0</v>
      </c>
      <c r="F50" s="9">
        <v>190.69</v>
      </c>
      <c r="G50" s="14">
        <f t="shared" si="3"/>
        <v>56</v>
      </c>
      <c r="H50" s="14">
        <f t="shared" si="4"/>
        <v>10678.64</v>
      </c>
      <c r="J50" s="94"/>
      <c r="K50" s="94"/>
      <c r="L50" s="96"/>
    </row>
    <row r="51">
      <c r="A51" s="7">
        <v>45968.0</v>
      </c>
      <c r="B51" s="9">
        <v>-66.8</v>
      </c>
      <c r="C51" s="9">
        <v>30.4</v>
      </c>
      <c r="D51" s="9">
        <v>8.6</v>
      </c>
      <c r="E51" s="9">
        <v>6.4</v>
      </c>
      <c r="F51" s="9">
        <v>185.13</v>
      </c>
      <c r="G51" s="14">
        <f t="shared" si="3"/>
        <v>-21.4</v>
      </c>
      <c r="H51" s="14">
        <f t="shared" si="4"/>
        <v>-3961.782</v>
      </c>
      <c r="J51" s="136"/>
      <c r="K51" s="91"/>
      <c r="L51" s="90"/>
      <c r="N51" s="137" t="s">
        <v>169</v>
      </c>
      <c r="O51" s="33" t="s">
        <v>65</v>
      </c>
      <c r="P51" s="33" t="s">
        <v>66</v>
      </c>
    </row>
    <row r="52">
      <c r="A52" s="7">
        <v>45971.0</v>
      </c>
      <c r="B52" s="9">
        <v>142.6</v>
      </c>
      <c r="C52" s="9">
        <v>-12.6</v>
      </c>
      <c r="D52" s="14">
        <f>19.4*2</f>
        <v>38.8</v>
      </c>
      <c r="E52" s="9">
        <v>51.8</v>
      </c>
      <c r="F52" s="9">
        <v>197.59</v>
      </c>
      <c r="G52" s="14">
        <f t="shared" si="3"/>
        <v>220.6</v>
      </c>
      <c r="H52" s="14">
        <f t="shared" si="4"/>
        <v>43588.354</v>
      </c>
      <c r="J52" s="137" t="s">
        <v>169</v>
      </c>
      <c r="K52" s="33" t="s">
        <v>65</v>
      </c>
      <c r="L52" s="98" t="s">
        <v>66</v>
      </c>
      <c r="N52" s="33" t="s">
        <v>145</v>
      </c>
      <c r="O52" s="126">
        <v>-30.1</v>
      </c>
      <c r="P52" s="138">
        <v>186.64</v>
      </c>
    </row>
    <row r="53">
      <c r="A53" s="7">
        <v>45972.0</v>
      </c>
      <c r="B53" s="14">
        <f>178.7*2</f>
        <v>357.4</v>
      </c>
      <c r="C53" s="9">
        <v>-27.2</v>
      </c>
      <c r="D53" s="9">
        <v>8.4</v>
      </c>
      <c r="E53" s="9">
        <v>-29.0</v>
      </c>
      <c r="F53" s="9">
        <v>193.29</v>
      </c>
      <c r="G53" s="14">
        <f t="shared" si="3"/>
        <v>309.6</v>
      </c>
      <c r="H53" s="14">
        <f t="shared" si="4"/>
        <v>59842.584</v>
      </c>
      <c r="J53" s="33" t="s">
        <v>145</v>
      </c>
      <c r="K53" s="128">
        <f>G57</f>
        <v>-30.1</v>
      </c>
      <c r="L53" s="100">
        <f>F57</f>
        <v>186.64</v>
      </c>
      <c r="N53" s="36"/>
      <c r="O53" s="36"/>
      <c r="P53" s="36"/>
    </row>
    <row r="54">
      <c r="A54" s="7">
        <v>45973.0</v>
      </c>
      <c r="B54" s="14">
        <f>74.8*2</f>
        <v>149.6</v>
      </c>
      <c r="C54" s="9">
        <v>-1.2</v>
      </c>
      <c r="D54" s="9">
        <v>6.8</v>
      </c>
      <c r="E54" s="9">
        <v>0.0</v>
      </c>
      <c r="F54" s="9">
        <v>193.61</v>
      </c>
      <c r="G54" s="14">
        <f t="shared" si="3"/>
        <v>155.2</v>
      </c>
      <c r="H54" s="14">
        <f t="shared" si="4"/>
        <v>30048.272</v>
      </c>
      <c r="J54" s="36"/>
      <c r="K54" s="36"/>
      <c r="L54" s="54"/>
      <c r="N54" s="33" t="s">
        <v>68</v>
      </c>
      <c r="O54" s="131">
        <v>917.1</v>
      </c>
      <c r="P54" s="103">
        <v>190.44</v>
      </c>
    </row>
    <row r="55">
      <c r="A55" s="7">
        <v>45974.0</v>
      </c>
      <c r="B55" s="14">
        <f>187.8*2</f>
        <v>375.6</v>
      </c>
      <c r="C55" s="9">
        <v>10.2</v>
      </c>
      <c r="D55" s="9">
        <v>0.0</v>
      </c>
      <c r="E55" s="9">
        <v>6.8</v>
      </c>
      <c r="F55" s="9">
        <v>187.38</v>
      </c>
      <c r="G55" s="14">
        <f t="shared" si="3"/>
        <v>392.6</v>
      </c>
      <c r="H55" s="14">
        <f t="shared" si="4"/>
        <v>73565.388</v>
      </c>
      <c r="J55" s="33" t="s">
        <v>68</v>
      </c>
      <c r="K55" s="128">
        <f>SUM(G53:G57)</f>
        <v>917.1</v>
      </c>
      <c r="L55" s="100">
        <f>SUM(H53:H57)/K55</f>
        <v>190.4409879</v>
      </c>
      <c r="N55" s="36"/>
      <c r="O55" s="36"/>
      <c r="P55" s="36"/>
    </row>
    <row r="56">
      <c r="A56" s="7">
        <v>45975.0</v>
      </c>
      <c r="B56" s="9">
        <v>69.0</v>
      </c>
      <c r="C56" s="9">
        <v>-5.2</v>
      </c>
      <c r="D56" s="9">
        <v>19.6</v>
      </c>
      <c r="E56" s="9">
        <v>6.4</v>
      </c>
      <c r="F56" s="9">
        <v>187.25</v>
      </c>
      <c r="G56" s="14">
        <f t="shared" si="3"/>
        <v>89.8</v>
      </c>
      <c r="H56" s="14">
        <f t="shared" si="4"/>
        <v>16815.05</v>
      </c>
      <c r="J56" s="36"/>
      <c r="K56" s="36"/>
      <c r="L56" s="54"/>
      <c r="N56" s="33" t="s">
        <v>69</v>
      </c>
      <c r="O56" s="131">
        <v>175.0</v>
      </c>
      <c r="P56" s="103">
        <v>152.37</v>
      </c>
    </row>
    <row r="57">
      <c r="A57" s="7">
        <v>45978.0</v>
      </c>
      <c r="B57" s="9">
        <v>-39.7</v>
      </c>
      <c r="C57" s="9">
        <v>14.3</v>
      </c>
      <c r="D57" s="9">
        <v>-4.7</v>
      </c>
      <c r="E57" s="9">
        <v>0.0</v>
      </c>
      <c r="F57" s="9">
        <v>186.64</v>
      </c>
      <c r="G57" s="14">
        <f t="shared" si="3"/>
        <v>-30.1</v>
      </c>
      <c r="H57" s="14">
        <f t="shared" si="4"/>
        <v>-5617.864</v>
      </c>
      <c r="J57" s="33" t="s">
        <v>69</v>
      </c>
      <c r="K57" s="139">
        <f>SUM(G38:G57)</f>
        <v>175</v>
      </c>
      <c r="L57" s="100">
        <f>SUM(H38:H57)/K57</f>
        <v>152.36788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5"/>
  </cols>
  <sheetData>
    <row r="1">
      <c r="A1" s="146" t="s">
        <v>0</v>
      </c>
      <c r="B1" s="146" t="s">
        <v>170</v>
      </c>
      <c r="C1" s="146" t="s">
        <v>171</v>
      </c>
      <c r="D1" s="146" t="s">
        <v>172</v>
      </c>
      <c r="E1" s="146" t="s">
        <v>173</v>
      </c>
      <c r="F1" s="146" t="s">
        <v>174</v>
      </c>
      <c r="G1" s="146" t="s">
        <v>175</v>
      </c>
      <c r="H1" s="146" t="s">
        <v>176</v>
      </c>
      <c r="I1" s="146" t="s">
        <v>3</v>
      </c>
    </row>
    <row r="2">
      <c r="A2" s="7">
        <v>45912.0</v>
      </c>
      <c r="B2" s="9">
        <v>0.0</v>
      </c>
      <c r="C2" s="9">
        <v>0.0</v>
      </c>
      <c r="D2" s="9">
        <v>0.0</v>
      </c>
      <c r="E2" s="9">
        <v>0.0</v>
      </c>
      <c r="F2" s="9">
        <v>0.0</v>
      </c>
      <c r="G2" s="9">
        <v>360.46</v>
      </c>
      <c r="H2" s="14">
        <f t="shared" ref="H2:H48" si="1">SUM(B2:F2)</f>
        <v>0</v>
      </c>
      <c r="I2" s="14">
        <f t="shared" ref="I2:I48" si="2">G2*H2</f>
        <v>0</v>
      </c>
    </row>
    <row r="3">
      <c r="A3" s="7">
        <v>45915.0</v>
      </c>
      <c r="B3" s="9">
        <v>3.6</v>
      </c>
      <c r="C3" s="9">
        <v>0.0</v>
      </c>
      <c r="D3" s="9">
        <v>15.0</v>
      </c>
      <c r="E3" s="9">
        <v>0.0</v>
      </c>
      <c r="F3" s="9">
        <v>0.0</v>
      </c>
      <c r="G3" s="9">
        <v>360.83</v>
      </c>
      <c r="H3" s="14">
        <f t="shared" si="1"/>
        <v>18.6</v>
      </c>
      <c r="I3" s="14">
        <f t="shared" si="2"/>
        <v>6711.438</v>
      </c>
    </row>
    <row r="4">
      <c r="A4" s="7"/>
      <c r="B4" s="9">
        <v>0.0</v>
      </c>
      <c r="C4" s="9">
        <v>0.0</v>
      </c>
      <c r="D4" s="9">
        <v>11.8</v>
      </c>
      <c r="E4" s="9">
        <v>3.2</v>
      </c>
      <c r="F4" s="9">
        <v>0.0</v>
      </c>
      <c r="G4" s="9">
        <v>361.41</v>
      </c>
      <c r="H4" s="14">
        <f t="shared" si="1"/>
        <v>15</v>
      </c>
      <c r="I4" s="14">
        <f t="shared" si="2"/>
        <v>5421.15</v>
      </c>
    </row>
    <row r="5">
      <c r="A5" s="7">
        <v>45917.0</v>
      </c>
      <c r="B5" s="9">
        <v>0.0</v>
      </c>
      <c r="C5" s="9">
        <v>0.0</v>
      </c>
      <c r="D5" s="9">
        <v>0.0</v>
      </c>
      <c r="E5" s="9">
        <v>0.0</v>
      </c>
      <c r="F5" s="9">
        <v>0.0</v>
      </c>
      <c r="G5" s="9">
        <v>351.01</v>
      </c>
      <c r="H5" s="14">
        <f t="shared" si="1"/>
        <v>0</v>
      </c>
      <c r="I5" s="14">
        <f t="shared" si="2"/>
        <v>0</v>
      </c>
    </row>
    <row r="6">
      <c r="A6" s="7">
        <v>45918.0</v>
      </c>
      <c r="B6" s="9">
        <v>0.0</v>
      </c>
      <c r="C6" s="9">
        <v>3.0</v>
      </c>
      <c r="D6" s="9">
        <v>0.0</v>
      </c>
      <c r="E6" s="9">
        <v>0.0</v>
      </c>
      <c r="F6" s="9">
        <v>0.0</v>
      </c>
      <c r="G6" s="9">
        <v>346.87</v>
      </c>
      <c r="H6" s="14">
        <f t="shared" si="1"/>
        <v>3</v>
      </c>
      <c r="I6" s="14">
        <f t="shared" si="2"/>
        <v>1040.61</v>
      </c>
    </row>
    <row r="7">
      <c r="A7" s="7">
        <v>45919.0</v>
      </c>
      <c r="B7" s="9">
        <v>0.0</v>
      </c>
      <c r="C7" s="9">
        <v>0.8</v>
      </c>
      <c r="D7" s="9">
        <v>0.0</v>
      </c>
      <c r="E7" s="9">
        <v>5.8</v>
      </c>
      <c r="F7" s="9">
        <v>0.0</v>
      </c>
      <c r="G7" s="9">
        <v>342.49</v>
      </c>
      <c r="H7" s="14">
        <f t="shared" si="1"/>
        <v>6.6</v>
      </c>
      <c r="I7" s="14">
        <f t="shared" si="2"/>
        <v>2260.434</v>
      </c>
    </row>
    <row r="8">
      <c r="A8" s="7">
        <v>45922.0</v>
      </c>
      <c r="B8" s="9">
        <v>1.0</v>
      </c>
      <c r="C8" s="9">
        <v>0.0</v>
      </c>
      <c r="D8" s="9">
        <v>0.0</v>
      </c>
      <c r="E8" s="9">
        <v>0.0</v>
      </c>
      <c r="F8" s="9">
        <v>0.0</v>
      </c>
      <c r="G8" s="9">
        <v>341.46</v>
      </c>
      <c r="H8" s="14">
        <f t="shared" si="1"/>
        <v>1</v>
      </c>
      <c r="I8" s="14">
        <f t="shared" si="2"/>
        <v>341.46</v>
      </c>
    </row>
    <row r="9">
      <c r="A9" s="7">
        <v>45923.0</v>
      </c>
      <c r="B9" s="9">
        <v>2.6</v>
      </c>
      <c r="C9" s="9">
        <v>0.0</v>
      </c>
      <c r="D9" s="9">
        <v>4.0</v>
      </c>
      <c r="E9" s="9">
        <v>5.6</v>
      </c>
      <c r="F9" s="9">
        <v>0.0</v>
      </c>
      <c r="G9" s="9">
        <v>340.35</v>
      </c>
      <c r="H9" s="14">
        <f t="shared" si="1"/>
        <v>12.2</v>
      </c>
      <c r="I9" s="14">
        <f t="shared" si="2"/>
        <v>4152.27</v>
      </c>
    </row>
    <row r="10">
      <c r="A10" s="7">
        <v>45924.0</v>
      </c>
      <c r="B10" s="9">
        <v>1.8</v>
      </c>
      <c r="C10" s="9">
        <v>0.0</v>
      </c>
      <c r="D10" s="9">
        <v>0.0</v>
      </c>
      <c r="E10" s="9">
        <v>-16.6</v>
      </c>
      <c r="F10" s="9">
        <v>-6.7</v>
      </c>
      <c r="G10" s="9">
        <v>338.24</v>
      </c>
      <c r="H10" s="14">
        <f t="shared" si="1"/>
        <v>-21.5</v>
      </c>
      <c r="I10" s="14">
        <f t="shared" si="2"/>
        <v>-7272.16</v>
      </c>
    </row>
    <row r="11">
      <c r="A11" s="7">
        <v>45925.0</v>
      </c>
      <c r="B11" s="9">
        <v>0.0</v>
      </c>
      <c r="C11" s="9">
        <v>0.0</v>
      </c>
      <c r="D11" s="9">
        <v>12.2</v>
      </c>
      <c r="E11" s="9">
        <v>0.0</v>
      </c>
      <c r="F11" s="9">
        <v>0.0</v>
      </c>
      <c r="G11" s="9">
        <v>333.61</v>
      </c>
      <c r="H11" s="14">
        <f t="shared" si="1"/>
        <v>12.2</v>
      </c>
      <c r="I11" s="14">
        <f t="shared" si="2"/>
        <v>4070.042</v>
      </c>
    </row>
    <row r="12">
      <c r="A12" s="7">
        <v>45926.0</v>
      </c>
      <c r="B12" s="9">
        <v>0.0</v>
      </c>
      <c r="C12" s="9">
        <v>0.0</v>
      </c>
      <c r="D12" s="9">
        <v>11.0</v>
      </c>
      <c r="E12" s="9">
        <v>2.8</v>
      </c>
      <c r="F12" s="9">
        <v>-1.6</v>
      </c>
      <c r="G12" s="9">
        <v>335.41</v>
      </c>
      <c r="H12" s="14">
        <f t="shared" si="1"/>
        <v>12.2</v>
      </c>
      <c r="I12" s="14">
        <f t="shared" si="2"/>
        <v>4092.002</v>
      </c>
    </row>
    <row r="13">
      <c r="A13" s="7">
        <v>45929.0</v>
      </c>
      <c r="B13" s="9">
        <v>0.0</v>
      </c>
      <c r="C13" s="9">
        <v>0.0</v>
      </c>
      <c r="D13" s="9">
        <v>23.6</v>
      </c>
      <c r="E13" s="9">
        <v>0.0</v>
      </c>
      <c r="F13" s="9">
        <v>0.0</v>
      </c>
      <c r="G13" s="9">
        <v>333.13</v>
      </c>
      <c r="H13" s="14">
        <f t="shared" si="1"/>
        <v>23.6</v>
      </c>
      <c r="I13" s="14">
        <f t="shared" si="2"/>
        <v>7861.868</v>
      </c>
    </row>
    <row r="14">
      <c r="A14" s="7">
        <v>45930.0</v>
      </c>
      <c r="B14" s="9">
        <v>0.0</v>
      </c>
      <c r="C14" s="9">
        <v>0.0</v>
      </c>
      <c r="D14" s="9">
        <v>0.0</v>
      </c>
      <c r="E14" s="9">
        <v>0.0</v>
      </c>
      <c r="F14" s="9">
        <v>0.0</v>
      </c>
      <c r="G14" s="9">
        <v>328.92</v>
      </c>
      <c r="H14" s="14">
        <f t="shared" si="1"/>
        <v>0</v>
      </c>
      <c r="I14" s="14">
        <f t="shared" si="2"/>
        <v>0</v>
      </c>
    </row>
    <row r="15">
      <c r="A15" s="7">
        <v>45931.0</v>
      </c>
      <c r="B15" s="9">
        <v>0.0</v>
      </c>
      <c r="C15" s="9">
        <v>0.0</v>
      </c>
      <c r="D15" s="9">
        <v>0.0</v>
      </c>
      <c r="E15" s="9">
        <v>0.0</v>
      </c>
      <c r="F15" s="9">
        <v>0.0</v>
      </c>
      <c r="G15" s="9">
        <v>331.0</v>
      </c>
      <c r="H15" s="14">
        <f t="shared" si="1"/>
        <v>0</v>
      </c>
      <c r="I15" s="14">
        <f t="shared" si="2"/>
        <v>0</v>
      </c>
    </row>
    <row r="16">
      <c r="A16" s="7">
        <v>45932.0</v>
      </c>
      <c r="B16" s="9">
        <v>1.8</v>
      </c>
      <c r="C16" s="9">
        <v>1.4</v>
      </c>
      <c r="D16" s="9">
        <v>266.2</v>
      </c>
      <c r="E16" s="9">
        <v>0.0</v>
      </c>
      <c r="F16" s="9">
        <v>0.0</v>
      </c>
      <c r="G16" s="9">
        <v>342.16</v>
      </c>
      <c r="H16" s="14">
        <f t="shared" si="1"/>
        <v>269.4</v>
      </c>
      <c r="I16" s="14">
        <f t="shared" si="2"/>
        <v>92177.904</v>
      </c>
    </row>
    <row r="17">
      <c r="A17" s="7">
        <v>45933.0</v>
      </c>
      <c r="B17" s="9">
        <v>3.2</v>
      </c>
      <c r="C17" s="9">
        <v>0.0</v>
      </c>
      <c r="D17" s="14">
        <f>-127.2*2</f>
        <v>-254.4</v>
      </c>
      <c r="E17" s="9">
        <v>0.0</v>
      </c>
      <c r="F17" s="9">
        <v>0.0</v>
      </c>
      <c r="G17" s="9">
        <v>340.0</v>
      </c>
      <c r="H17" s="14">
        <f t="shared" si="1"/>
        <v>-251.2</v>
      </c>
      <c r="I17" s="14">
        <f t="shared" si="2"/>
        <v>-85408</v>
      </c>
    </row>
    <row r="18">
      <c r="A18" s="7">
        <v>45936.0</v>
      </c>
      <c r="B18" s="9">
        <v>0.0</v>
      </c>
      <c r="C18" s="9">
        <v>0.0</v>
      </c>
      <c r="D18" s="9">
        <v>2.0</v>
      </c>
      <c r="E18" s="9">
        <v>0.0</v>
      </c>
      <c r="F18" s="9">
        <v>0.0</v>
      </c>
      <c r="G18" s="9">
        <v>337.53</v>
      </c>
      <c r="H18" s="14">
        <f t="shared" si="1"/>
        <v>2</v>
      </c>
      <c r="I18" s="14">
        <f t="shared" si="2"/>
        <v>675.06</v>
      </c>
    </row>
    <row r="19">
      <c r="A19" s="7">
        <v>45937.0</v>
      </c>
      <c r="B19" s="9">
        <v>0.0</v>
      </c>
      <c r="C19" s="9">
        <v>1.4</v>
      </c>
      <c r="D19" s="9">
        <v>289.2</v>
      </c>
      <c r="E19" s="9">
        <v>0.0</v>
      </c>
      <c r="F19" s="9">
        <v>0.0</v>
      </c>
      <c r="G19" s="9">
        <v>334.53</v>
      </c>
      <c r="H19" s="14">
        <f t="shared" si="1"/>
        <v>290.6</v>
      </c>
      <c r="I19" s="14">
        <f t="shared" si="2"/>
        <v>97214.418</v>
      </c>
    </row>
    <row r="20">
      <c r="A20" s="7">
        <v>45938.0</v>
      </c>
      <c r="B20" s="9">
        <v>0.0</v>
      </c>
      <c r="C20" s="9">
        <v>0.0</v>
      </c>
      <c r="D20" s="9">
        <v>-290.6</v>
      </c>
      <c r="E20" s="9">
        <v>5.4</v>
      </c>
      <c r="F20" s="9">
        <v>0.0</v>
      </c>
      <c r="G20" s="9">
        <v>339.62</v>
      </c>
      <c r="H20" s="14">
        <f t="shared" si="1"/>
        <v>-285.2</v>
      </c>
      <c r="I20" s="14">
        <f t="shared" si="2"/>
        <v>-96859.624</v>
      </c>
    </row>
    <row r="21">
      <c r="A21" s="7">
        <v>45939.0</v>
      </c>
      <c r="B21" s="9">
        <v>0.0</v>
      </c>
      <c r="C21" s="9">
        <v>0.0</v>
      </c>
      <c r="D21" s="9">
        <v>208.8</v>
      </c>
      <c r="E21" s="9">
        <v>-2.8</v>
      </c>
      <c r="F21" s="9">
        <v>-0.8</v>
      </c>
      <c r="G21" s="9">
        <v>344.62</v>
      </c>
      <c r="H21" s="14">
        <f t="shared" si="1"/>
        <v>205.2</v>
      </c>
      <c r="I21" s="14">
        <f t="shared" si="2"/>
        <v>70716.024</v>
      </c>
    </row>
    <row r="22">
      <c r="A22" s="7">
        <v>45940.0</v>
      </c>
      <c r="B22" s="9">
        <v>-1.2</v>
      </c>
      <c r="C22" s="9">
        <v>0.0</v>
      </c>
      <c r="D22" s="9">
        <v>-210.2</v>
      </c>
      <c r="E22" s="9">
        <v>-2.8</v>
      </c>
      <c r="F22" s="9">
        <v>6.0</v>
      </c>
      <c r="G22" s="9">
        <v>336.17</v>
      </c>
      <c r="H22" s="14">
        <f t="shared" si="1"/>
        <v>-208.2</v>
      </c>
      <c r="I22" s="14">
        <f t="shared" si="2"/>
        <v>-69990.594</v>
      </c>
    </row>
    <row r="23">
      <c r="A23" s="7">
        <v>45943.0</v>
      </c>
      <c r="B23" s="9">
        <v>0.0</v>
      </c>
      <c r="C23" s="9">
        <v>0.0</v>
      </c>
      <c r="D23" s="9">
        <v>0.0</v>
      </c>
      <c r="E23" s="9">
        <v>0.0</v>
      </c>
      <c r="F23" s="9">
        <v>0.0</v>
      </c>
      <c r="G23" s="9">
        <v>353.09</v>
      </c>
      <c r="H23" s="14">
        <f t="shared" si="1"/>
        <v>0</v>
      </c>
      <c r="I23" s="14">
        <f t="shared" si="2"/>
        <v>0</v>
      </c>
      <c r="K23" s="132"/>
      <c r="L23" s="78"/>
      <c r="M23" s="78"/>
    </row>
    <row r="24">
      <c r="A24" s="7">
        <v>45944.0</v>
      </c>
      <c r="B24" s="9">
        <v>1.0</v>
      </c>
      <c r="C24" s="9">
        <v>0.0</v>
      </c>
      <c r="D24" s="9">
        <v>364.6</v>
      </c>
      <c r="E24" s="9">
        <v>-6.0</v>
      </c>
      <c r="F24" s="9">
        <v>3.0</v>
      </c>
      <c r="G24" s="9">
        <v>344.82</v>
      </c>
      <c r="H24" s="14">
        <f t="shared" si="1"/>
        <v>362.6</v>
      </c>
      <c r="I24" s="14">
        <f t="shared" si="2"/>
        <v>125031.732</v>
      </c>
      <c r="K24" s="133"/>
      <c r="L24" s="45"/>
      <c r="M24" s="86"/>
      <c r="O24" s="132"/>
      <c r="P24" s="78"/>
      <c r="Q24" s="78"/>
    </row>
    <row r="25">
      <c r="A25" s="7">
        <v>45945.0</v>
      </c>
      <c r="B25" s="9">
        <v>0.0</v>
      </c>
      <c r="C25" s="9">
        <v>3.0</v>
      </c>
      <c r="D25" s="14">
        <f>-153.9*2</f>
        <v>-307.8</v>
      </c>
      <c r="E25" s="9">
        <v>0.0</v>
      </c>
      <c r="F25" s="9">
        <v>0.0</v>
      </c>
      <c r="G25" s="9">
        <v>352.74</v>
      </c>
      <c r="H25" s="14">
        <f t="shared" si="1"/>
        <v>-304.8</v>
      </c>
      <c r="I25" s="14">
        <f t="shared" si="2"/>
        <v>-107515.152</v>
      </c>
      <c r="K25" s="134"/>
      <c r="L25" s="18"/>
      <c r="M25" s="86"/>
      <c r="O25" s="78"/>
      <c r="P25" s="115"/>
      <c r="Q25" s="80"/>
    </row>
    <row r="26">
      <c r="A26" s="7">
        <v>45946.0</v>
      </c>
      <c r="B26" s="9">
        <v>0.0</v>
      </c>
      <c r="C26" s="9">
        <v>0.0</v>
      </c>
      <c r="D26" s="14">
        <f>-13.8*2</f>
        <v>-27.6</v>
      </c>
      <c r="E26" s="9">
        <v>-3.0</v>
      </c>
      <c r="F26" s="9">
        <v>0.0</v>
      </c>
      <c r="G26" s="9">
        <v>355.63</v>
      </c>
      <c r="H26" s="14">
        <f t="shared" si="1"/>
        <v>-30.6</v>
      </c>
      <c r="I26" s="14">
        <f t="shared" si="2"/>
        <v>-10882.278</v>
      </c>
      <c r="K26" s="133"/>
      <c r="L26" s="45"/>
      <c r="M26" s="86"/>
      <c r="O26" s="145"/>
      <c r="P26" s="81"/>
      <c r="Q26" s="81"/>
    </row>
    <row r="27">
      <c r="A27" s="7">
        <v>45947.0</v>
      </c>
      <c r="B27" s="9">
        <v>2.2</v>
      </c>
      <c r="C27" s="9">
        <v>0.0</v>
      </c>
      <c r="D27" s="9">
        <v>-15.0</v>
      </c>
      <c r="E27" s="9">
        <v>0.0</v>
      </c>
      <c r="F27" s="9">
        <v>0.7</v>
      </c>
      <c r="G27" s="9">
        <v>347.03</v>
      </c>
      <c r="H27" s="14">
        <f t="shared" si="1"/>
        <v>-12.1</v>
      </c>
      <c r="I27" s="14">
        <f t="shared" si="2"/>
        <v>-4199.063</v>
      </c>
      <c r="K27" s="134"/>
      <c r="L27" s="18"/>
      <c r="M27" s="86"/>
      <c r="O27" s="78"/>
      <c r="P27" s="115"/>
      <c r="Q27" s="80"/>
    </row>
    <row r="28">
      <c r="A28" s="7">
        <v>45950.0</v>
      </c>
      <c r="B28" s="9">
        <v>0.0</v>
      </c>
      <c r="C28" s="9">
        <v>0.0</v>
      </c>
      <c r="D28" s="9">
        <v>-6.2</v>
      </c>
      <c r="E28" s="9">
        <v>0.0</v>
      </c>
      <c r="F28" s="9">
        <v>0.0</v>
      </c>
      <c r="G28" s="9">
        <v>351.22</v>
      </c>
      <c r="H28" s="14">
        <f t="shared" si="1"/>
        <v>-6.2</v>
      </c>
      <c r="I28" s="14">
        <f t="shared" si="2"/>
        <v>-2177.564</v>
      </c>
      <c r="K28" s="133"/>
      <c r="L28" s="45"/>
      <c r="M28" s="86"/>
      <c r="O28" s="145"/>
      <c r="P28" s="81"/>
      <c r="Q28" s="81"/>
    </row>
    <row r="29">
      <c r="A29" s="7">
        <v>45951.0</v>
      </c>
      <c r="B29" s="9">
        <v>-1.2</v>
      </c>
      <c r="C29" s="9">
        <v>1.6</v>
      </c>
      <c r="D29" s="9">
        <v>0.0</v>
      </c>
      <c r="E29" s="14">
        <f>8.6*2</f>
        <v>17.2</v>
      </c>
      <c r="F29" s="9">
        <v>0.0</v>
      </c>
      <c r="G29" s="9">
        <v>345.02</v>
      </c>
      <c r="H29" s="14">
        <f t="shared" si="1"/>
        <v>17.6</v>
      </c>
      <c r="I29" s="14">
        <f t="shared" si="2"/>
        <v>6072.352</v>
      </c>
      <c r="K29" s="134"/>
      <c r="L29" s="18"/>
      <c r="M29" s="86"/>
      <c r="O29" s="78"/>
      <c r="P29" s="115"/>
      <c r="Q29" s="80"/>
    </row>
    <row r="30">
      <c r="A30" s="7">
        <v>45952.0</v>
      </c>
      <c r="B30" s="9">
        <v>0.0</v>
      </c>
      <c r="C30" s="9">
        <v>0.0</v>
      </c>
      <c r="D30" s="9">
        <v>0.0</v>
      </c>
      <c r="E30" s="9">
        <v>-16.6</v>
      </c>
      <c r="F30" s="9">
        <v>0.0</v>
      </c>
      <c r="G30" s="9">
        <v>341.27</v>
      </c>
      <c r="H30" s="14">
        <f t="shared" si="1"/>
        <v>-16.6</v>
      </c>
      <c r="I30" s="14">
        <f t="shared" si="2"/>
        <v>-5665.082</v>
      </c>
      <c r="K30" s="134"/>
      <c r="L30" s="18"/>
      <c r="M30" s="86"/>
    </row>
    <row r="31">
      <c r="A31" s="7">
        <v>45953.0</v>
      </c>
      <c r="B31" s="9">
        <v>0.0</v>
      </c>
      <c r="C31" s="9">
        <v>0.0</v>
      </c>
      <c r="D31" s="9">
        <v>2.0</v>
      </c>
      <c r="E31" s="9">
        <v>21.8</v>
      </c>
      <c r="F31" s="9">
        <v>0.0</v>
      </c>
      <c r="G31" s="9">
        <v>343.75</v>
      </c>
      <c r="H31" s="14">
        <f t="shared" si="1"/>
        <v>23.8</v>
      </c>
      <c r="I31" s="14">
        <f t="shared" si="2"/>
        <v>8181.25</v>
      </c>
      <c r="K31" s="134"/>
      <c r="L31" s="18"/>
      <c r="M31" s="86"/>
    </row>
    <row r="32">
      <c r="A32" s="7">
        <v>45954.0</v>
      </c>
      <c r="B32" s="9">
        <v>0.0</v>
      </c>
      <c r="C32" s="9">
        <v>0.0</v>
      </c>
      <c r="D32" s="9">
        <v>-11.2</v>
      </c>
      <c r="E32" s="9">
        <v>-25.0</v>
      </c>
      <c r="F32" s="9">
        <v>0.0</v>
      </c>
      <c r="G32" s="9">
        <v>354.43</v>
      </c>
      <c r="H32" s="14">
        <f t="shared" si="1"/>
        <v>-36.2</v>
      </c>
      <c r="I32" s="14">
        <f t="shared" si="2"/>
        <v>-12830.366</v>
      </c>
      <c r="K32" s="134"/>
      <c r="L32" s="18"/>
      <c r="M32" s="86"/>
    </row>
    <row r="33">
      <c r="A33" s="7">
        <v>45957.0</v>
      </c>
      <c r="B33" s="9">
        <v>0.0</v>
      </c>
      <c r="C33" s="9">
        <v>0.0</v>
      </c>
      <c r="D33" s="9">
        <v>0.0</v>
      </c>
      <c r="E33" s="9">
        <v>0.0</v>
      </c>
      <c r="F33" s="9">
        <v>0.0</v>
      </c>
      <c r="G33" s="9">
        <v>358.61</v>
      </c>
      <c r="H33" s="14">
        <f t="shared" si="1"/>
        <v>0</v>
      </c>
      <c r="I33" s="14">
        <f t="shared" si="2"/>
        <v>0</v>
      </c>
      <c r="K33" s="134"/>
      <c r="L33" s="18"/>
      <c r="M33" s="86"/>
    </row>
    <row r="34">
      <c r="A34" s="7">
        <v>45958.0</v>
      </c>
      <c r="B34" s="9">
        <v>0.0</v>
      </c>
      <c r="C34" s="9">
        <v>0.0</v>
      </c>
      <c r="D34" s="9">
        <v>0.0</v>
      </c>
      <c r="E34" s="9">
        <v>21.6</v>
      </c>
      <c r="F34" s="9">
        <v>0.0</v>
      </c>
      <c r="G34" s="9">
        <v>369.85</v>
      </c>
      <c r="H34" s="14">
        <f t="shared" si="1"/>
        <v>21.6</v>
      </c>
      <c r="I34" s="14">
        <f t="shared" si="2"/>
        <v>7988.76</v>
      </c>
      <c r="K34" s="134"/>
      <c r="L34" s="18"/>
      <c r="M34" s="86"/>
    </row>
    <row r="35">
      <c r="A35" s="7">
        <v>45959.0</v>
      </c>
      <c r="B35" s="9">
        <v>0.0</v>
      </c>
      <c r="C35" s="9">
        <v>-1.8</v>
      </c>
      <c r="D35" s="9">
        <v>0.0</v>
      </c>
      <c r="E35" s="14">
        <f>-19.6*2</f>
        <v>-39.2</v>
      </c>
      <c r="F35" s="9">
        <v>0.0</v>
      </c>
      <c r="G35" s="9">
        <v>381.88</v>
      </c>
      <c r="H35" s="14">
        <f t="shared" si="1"/>
        <v>-41</v>
      </c>
      <c r="I35" s="14">
        <f t="shared" si="2"/>
        <v>-15657.08</v>
      </c>
      <c r="K35" s="134"/>
      <c r="L35" s="18"/>
      <c r="M35" s="86"/>
    </row>
    <row r="36">
      <c r="A36" s="7">
        <v>45960.0</v>
      </c>
      <c r="B36" s="14">
        <f>-1.65*2</f>
        <v>-3.3</v>
      </c>
      <c r="C36" s="9">
        <v>0.0</v>
      </c>
      <c r="D36" s="9">
        <v>-1.2</v>
      </c>
      <c r="E36" s="14">
        <f>8.72*2</f>
        <v>17.44</v>
      </c>
      <c r="F36" s="9">
        <v>0.0</v>
      </c>
      <c r="G36" s="9">
        <v>377.64</v>
      </c>
      <c r="H36" s="14">
        <f t="shared" si="1"/>
        <v>12.94</v>
      </c>
      <c r="I36" s="14">
        <f t="shared" si="2"/>
        <v>4886.6616</v>
      </c>
      <c r="K36" s="134"/>
      <c r="L36" s="18"/>
      <c r="M36" s="86"/>
    </row>
    <row r="37">
      <c r="A37" s="7">
        <v>45961.0</v>
      </c>
      <c r="B37" s="9">
        <v>-0.8</v>
      </c>
      <c r="C37" s="9">
        <v>0.0</v>
      </c>
      <c r="D37" s="9">
        <v>23.0</v>
      </c>
      <c r="E37" s="14">
        <f>-16.6*2</f>
        <v>-33.2</v>
      </c>
      <c r="F37" s="9">
        <v>-1.0</v>
      </c>
      <c r="G37" s="9">
        <v>371.18</v>
      </c>
      <c r="H37" s="14">
        <f t="shared" si="1"/>
        <v>-12</v>
      </c>
      <c r="I37" s="14">
        <f t="shared" si="2"/>
        <v>-4454.16</v>
      </c>
      <c r="K37" s="136"/>
      <c r="L37" s="91"/>
      <c r="M37" s="90"/>
    </row>
    <row r="38">
      <c r="A38" s="7">
        <v>45964.0</v>
      </c>
      <c r="B38" s="9">
        <v>0.0</v>
      </c>
      <c r="C38" s="9">
        <v>0.0</v>
      </c>
      <c r="D38" s="9">
        <v>0.0</v>
      </c>
      <c r="E38" s="9">
        <v>0.0</v>
      </c>
      <c r="F38" s="9">
        <v>0.0</v>
      </c>
      <c r="G38" s="9">
        <v>366.46</v>
      </c>
      <c r="H38" s="14">
        <f t="shared" si="1"/>
        <v>0</v>
      </c>
      <c r="I38" s="14">
        <f t="shared" si="2"/>
        <v>0</v>
      </c>
      <c r="K38" s="91"/>
      <c r="L38" s="121"/>
      <c r="M38" s="93"/>
    </row>
    <row r="39">
      <c r="A39" s="7">
        <v>45965.0</v>
      </c>
      <c r="B39" s="9">
        <v>0.0</v>
      </c>
      <c r="C39" s="9">
        <v>0.0</v>
      </c>
      <c r="D39" s="9">
        <v>-4.4</v>
      </c>
      <c r="E39" s="9">
        <v>0.0</v>
      </c>
      <c r="F39" s="9">
        <v>0.0</v>
      </c>
      <c r="G39" s="9">
        <v>357.3</v>
      </c>
      <c r="H39" s="14">
        <f t="shared" si="1"/>
        <v>-4.4</v>
      </c>
      <c r="I39" s="14">
        <f t="shared" si="2"/>
        <v>-1572.12</v>
      </c>
      <c r="K39" s="94"/>
      <c r="L39" s="94"/>
      <c r="M39" s="96"/>
    </row>
    <row r="40">
      <c r="A40" s="7">
        <v>45966.0</v>
      </c>
      <c r="B40" s="9">
        <v>0.0</v>
      </c>
      <c r="C40" s="9">
        <v>0.0</v>
      </c>
      <c r="D40" s="9">
        <v>0.0</v>
      </c>
      <c r="E40" s="9">
        <v>-2.8</v>
      </c>
      <c r="F40" s="9">
        <v>0.0</v>
      </c>
      <c r="G40" s="9">
        <v>357.98</v>
      </c>
      <c r="H40" s="14">
        <f t="shared" si="1"/>
        <v>-2.8</v>
      </c>
      <c r="I40" s="14">
        <f t="shared" si="2"/>
        <v>-1002.344</v>
      </c>
      <c r="K40" s="91"/>
      <c r="L40" s="121"/>
      <c r="M40" s="93"/>
    </row>
    <row r="41">
      <c r="A41" s="7">
        <v>45967.0</v>
      </c>
      <c r="B41" s="9">
        <v>0.0</v>
      </c>
      <c r="C41" s="9">
        <v>0.0</v>
      </c>
      <c r="D41" s="9">
        <v>-9.8</v>
      </c>
      <c r="E41" s="9">
        <v>-3.0</v>
      </c>
      <c r="F41" s="9">
        <v>0.0</v>
      </c>
      <c r="G41" s="9">
        <v>357.27</v>
      </c>
      <c r="H41" s="14">
        <f t="shared" si="1"/>
        <v>-12.8</v>
      </c>
      <c r="I41" s="14">
        <f t="shared" si="2"/>
        <v>-4573.056</v>
      </c>
      <c r="K41" s="94"/>
      <c r="L41" s="94"/>
      <c r="M41" s="96"/>
    </row>
    <row r="42">
      <c r="A42" s="7">
        <v>45968.0</v>
      </c>
      <c r="B42" s="9">
        <v>0.0</v>
      </c>
      <c r="C42" s="9">
        <v>0.0</v>
      </c>
      <c r="D42" s="9">
        <v>0.0</v>
      </c>
      <c r="E42" s="9">
        <v>0.0</v>
      </c>
      <c r="F42" s="9">
        <v>0.0</v>
      </c>
      <c r="G42" s="9">
        <v>347.07</v>
      </c>
      <c r="H42" s="14">
        <f t="shared" si="1"/>
        <v>0</v>
      </c>
      <c r="I42" s="14">
        <f t="shared" si="2"/>
        <v>0</v>
      </c>
      <c r="K42" s="136"/>
      <c r="L42" s="91"/>
      <c r="M42" s="90"/>
      <c r="O42" s="137" t="s">
        <v>177</v>
      </c>
      <c r="P42" s="33" t="s">
        <v>65</v>
      </c>
      <c r="Q42" s="33" t="s">
        <v>66</v>
      </c>
    </row>
    <row r="43">
      <c r="A43" s="7">
        <v>45971.0</v>
      </c>
      <c r="B43" s="9">
        <v>1.6</v>
      </c>
      <c r="C43" s="9">
        <v>0.0</v>
      </c>
      <c r="D43" s="9">
        <v>0.0</v>
      </c>
      <c r="E43" s="9">
        <v>0.0</v>
      </c>
      <c r="F43" s="9">
        <v>0.0</v>
      </c>
      <c r="G43" s="9">
        <v>357.67</v>
      </c>
      <c r="H43" s="14">
        <f t="shared" si="1"/>
        <v>1.6</v>
      </c>
      <c r="I43" s="14">
        <f t="shared" si="2"/>
        <v>572.272</v>
      </c>
      <c r="K43" s="137" t="s">
        <v>177</v>
      </c>
      <c r="L43" s="33" t="s">
        <v>65</v>
      </c>
      <c r="M43" s="98" t="s">
        <v>66</v>
      </c>
      <c r="O43" s="33" t="s">
        <v>145</v>
      </c>
      <c r="P43" s="147">
        <v>0.0</v>
      </c>
      <c r="Q43" s="103" t="s">
        <v>178</v>
      </c>
    </row>
    <row r="44">
      <c r="A44" s="7">
        <v>45972.0</v>
      </c>
      <c r="B44" s="9">
        <v>0.0</v>
      </c>
      <c r="C44" s="9">
        <v>0.0</v>
      </c>
      <c r="D44" s="9">
        <v>0.0</v>
      </c>
      <c r="E44" s="9">
        <v>0.0</v>
      </c>
      <c r="F44" s="9">
        <v>0.0</v>
      </c>
      <c r="G44" s="9">
        <v>354.51</v>
      </c>
      <c r="H44" s="14">
        <f t="shared" si="1"/>
        <v>0</v>
      </c>
      <c r="I44" s="14">
        <f t="shared" si="2"/>
        <v>0</v>
      </c>
      <c r="K44" s="33" t="s">
        <v>145</v>
      </c>
      <c r="L44" s="139">
        <f>H48</f>
        <v>0</v>
      </c>
      <c r="M44" s="100">
        <f>G48</f>
        <v>344.12</v>
      </c>
      <c r="O44" s="36"/>
      <c r="P44" s="36"/>
      <c r="Q44" s="36"/>
    </row>
    <row r="45">
      <c r="A45" s="7">
        <v>45973.0</v>
      </c>
      <c r="B45" s="9">
        <v>0.0</v>
      </c>
      <c r="C45" s="9">
        <v>0.0</v>
      </c>
      <c r="D45" s="9">
        <v>0.0</v>
      </c>
      <c r="E45" s="9">
        <v>0.0</v>
      </c>
      <c r="F45" s="9">
        <v>0.0</v>
      </c>
      <c r="G45" s="9">
        <v>355.26</v>
      </c>
      <c r="H45" s="14">
        <f t="shared" si="1"/>
        <v>0</v>
      </c>
      <c r="I45" s="14">
        <f t="shared" si="2"/>
        <v>0</v>
      </c>
      <c r="K45" s="36"/>
      <c r="L45" s="36"/>
      <c r="M45" s="54"/>
      <c r="O45" s="33" t="s">
        <v>68</v>
      </c>
      <c r="P45" s="131">
        <v>2.6</v>
      </c>
      <c r="Q45" s="103">
        <v>338.75</v>
      </c>
    </row>
    <row r="46">
      <c r="A46" s="7">
        <v>45974.0</v>
      </c>
      <c r="B46" s="9">
        <v>0.0</v>
      </c>
      <c r="C46" s="9">
        <v>0.0</v>
      </c>
      <c r="D46" s="9">
        <v>0.0</v>
      </c>
      <c r="E46" s="9">
        <v>0.0</v>
      </c>
      <c r="F46" s="9">
        <v>0.0</v>
      </c>
      <c r="G46" s="9">
        <v>342.56</v>
      </c>
      <c r="H46" s="14">
        <f t="shared" si="1"/>
        <v>0</v>
      </c>
      <c r="I46" s="14">
        <f t="shared" si="2"/>
        <v>0</v>
      </c>
      <c r="K46" s="33" t="s">
        <v>68</v>
      </c>
      <c r="L46" s="128">
        <f>SUM(H44:H48)</f>
        <v>2.6</v>
      </c>
      <c r="M46" s="100">
        <f>SUM(I44:I48)/L46</f>
        <v>338.75</v>
      </c>
      <c r="O46" s="36"/>
      <c r="P46" s="36"/>
      <c r="Q46" s="36"/>
    </row>
    <row r="47">
      <c r="A47" s="7">
        <v>45975.0</v>
      </c>
      <c r="B47" s="9">
        <v>0.0</v>
      </c>
      <c r="C47" s="9">
        <v>0.0</v>
      </c>
      <c r="D47" s="9">
        <v>0.0</v>
      </c>
      <c r="E47" s="9">
        <v>2.6</v>
      </c>
      <c r="F47" s="9">
        <v>0.0</v>
      </c>
      <c r="G47" s="9">
        <v>338.75</v>
      </c>
      <c r="H47" s="14">
        <f t="shared" si="1"/>
        <v>2.6</v>
      </c>
      <c r="I47" s="14">
        <f t="shared" si="2"/>
        <v>880.75</v>
      </c>
      <c r="K47" s="36"/>
      <c r="L47" s="36"/>
      <c r="M47" s="54"/>
      <c r="O47" s="33" t="s">
        <v>69</v>
      </c>
      <c r="P47" s="126">
        <v>-45.6</v>
      </c>
      <c r="Q47" s="103">
        <v>376.1</v>
      </c>
    </row>
    <row r="48">
      <c r="A48" s="7">
        <v>45978.0</v>
      </c>
      <c r="B48" s="9">
        <v>0.0</v>
      </c>
      <c r="C48" s="9">
        <v>0.0</v>
      </c>
      <c r="D48" s="9">
        <v>0.0</v>
      </c>
      <c r="E48" s="9">
        <v>0.0</v>
      </c>
      <c r="F48" s="9">
        <v>0.0</v>
      </c>
      <c r="G48" s="9">
        <v>344.12</v>
      </c>
      <c r="H48" s="14">
        <f t="shared" si="1"/>
        <v>0</v>
      </c>
      <c r="I48" s="14">
        <f t="shared" si="2"/>
        <v>0</v>
      </c>
      <c r="K48" s="33" t="s">
        <v>69</v>
      </c>
      <c r="L48" s="128">
        <f>SUM(H29:H48)</f>
        <v>-45.66</v>
      </c>
      <c r="M48" s="100">
        <f>SUM(I29:I48)/L48</f>
        <v>376.0876566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3" t="s">
        <v>0</v>
      </c>
      <c r="B1" s="143" t="s">
        <v>179</v>
      </c>
      <c r="C1" s="143" t="s">
        <v>180</v>
      </c>
      <c r="D1" s="143" t="s">
        <v>181</v>
      </c>
      <c r="E1" s="143" t="s">
        <v>182</v>
      </c>
      <c r="F1" s="143" t="s">
        <v>183</v>
      </c>
      <c r="G1" s="143" t="s">
        <v>184</v>
      </c>
      <c r="H1" s="143" t="s">
        <v>185</v>
      </c>
      <c r="I1" s="143" t="s">
        <v>151</v>
      </c>
      <c r="J1" s="143" t="s">
        <v>3</v>
      </c>
    </row>
    <row r="2">
      <c r="A2" s="75">
        <v>45898.0</v>
      </c>
      <c r="B2" s="9">
        <v>50.2</v>
      </c>
      <c r="C2" s="9">
        <f>2*-2.5</f>
        <v>-5</v>
      </c>
      <c r="D2" s="9">
        <v>-49.6</v>
      </c>
      <c r="E2" s="9"/>
      <c r="F2" s="9"/>
      <c r="G2" s="9"/>
      <c r="H2" s="9">
        <v>0.0</v>
      </c>
      <c r="I2" s="9">
        <v>0.0</v>
      </c>
      <c r="J2" s="9">
        <v>0.0</v>
      </c>
    </row>
    <row r="3">
      <c r="A3" s="7">
        <v>45902.0</v>
      </c>
      <c r="B3" s="9">
        <v>24.2</v>
      </c>
      <c r="C3" s="9">
        <v>-1.0</v>
      </c>
      <c r="D3" s="9">
        <v>46.6</v>
      </c>
      <c r="E3" s="9"/>
      <c r="F3" s="9"/>
      <c r="G3" s="9"/>
      <c r="H3" s="9">
        <v>0.0</v>
      </c>
      <c r="I3" s="9">
        <v>0.0</v>
      </c>
      <c r="J3" s="9">
        <v>0.0</v>
      </c>
    </row>
    <row r="4">
      <c r="A4" s="7">
        <v>45903.0</v>
      </c>
      <c r="B4" s="9">
        <v>73.8</v>
      </c>
      <c r="C4" s="9">
        <v>24.4</v>
      </c>
      <c r="D4" s="9">
        <v>299.4</v>
      </c>
      <c r="E4" s="9"/>
      <c r="F4" s="9"/>
      <c r="G4" s="9"/>
      <c r="H4" s="9">
        <v>0.0</v>
      </c>
      <c r="I4" s="9">
        <v>0.0</v>
      </c>
      <c r="J4" s="9">
        <v>0.0</v>
      </c>
    </row>
    <row r="5">
      <c r="A5" s="7">
        <v>45904.0</v>
      </c>
      <c r="B5" s="9">
        <v>61.6</v>
      </c>
      <c r="C5" s="9">
        <v>0.0</v>
      </c>
      <c r="D5" s="9">
        <v>-150.0</v>
      </c>
      <c r="E5" s="9"/>
      <c r="F5" s="9"/>
      <c r="G5" s="9"/>
      <c r="H5" s="9">
        <v>0.0</v>
      </c>
      <c r="I5" s="9">
        <v>0.0</v>
      </c>
      <c r="J5" s="9">
        <v>0.0</v>
      </c>
    </row>
    <row r="6">
      <c r="A6" s="7">
        <v>45905.0</v>
      </c>
      <c r="B6" s="9">
        <v>42.4</v>
      </c>
      <c r="C6" s="9">
        <v>-28.8</v>
      </c>
      <c r="D6" s="9">
        <v>2.6</v>
      </c>
      <c r="E6" s="9"/>
      <c r="F6" s="9"/>
      <c r="G6" s="9"/>
      <c r="H6" s="9">
        <v>0.0</v>
      </c>
      <c r="I6" s="9">
        <v>0.0</v>
      </c>
      <c r="J6" s="9">
        <v>0.0</v>
      </c>
    </row>
    <row r="7">
      <c r="A7" s="7">
        <v>45908.0</v>
      </c>
      <c r="B7" s="9">
        <v>-165.2</v>
      </c>
      <c r="C7" s="9">
        <v>-7.0</v>
      </c>
      <c r="D7" s="9">
        <v>-470.4</v>
      </c>
      <c r="E7" s="9"/>
      <c r="F7" s="9"/>
      <c r="G7" s="9"/>
      <c r="H7" s="9">
        <v>351.08</v>
      </c>
      <c r="I7" s="9">
        <f t="shared" ref="I7:I9" si="1">SUM(B7:F7)</f>
        <v>-642.6</v>
      </c>
      <c r="J7" s="9">
        <f t="shared" ref="J7:J57" si="2">H7*I7</f>
        <v>-225604.008</v>
      </c>
    </row>
    <row r="8">
      <c r="A8" s="7">
        <v>45909.0</v>
      </c>
      <c r="B8" s="9">
        <v>-42.4</v>
      </c>
      <c r="C8" s="9">
        <v>36.8</v>
      </c>
      <c r="D8" s="9">
        <v>71.2</v>
      </c>
      <c r="E8" s="9"/>
      <c r="F8" s="9"/>
      <c r="G8" s="9"/>
      <c r="H8" s="9">
        <v>347.5</v>
      </c>
      <c r="I8" s="9">
        <f t="shared" si="1"/>
        <v>65.6</v>
      </c>
      <c r="J8" s="9">
        <f t="shared" si="2"/>
        <v>22796</v>
      </c>
    </row>
    <row r="9">
      <c r="A9" s="7">
        <v>45910.0</v>
      </c>
      <c r="B9" s="9">
        <v>35.8</v>
      </c>
      <c r="C9" s="9">
        <v>-1.4</v>
      </c>
      <c r="D9" s="9">
        <v>28.4</v>
      </c>
      <c r="E9" s="9"/>
      <c r="F9" s="9"/>
      <c r="G9" s="9"/>
      <c r="H9" s="9">
        <v>350.19</v>
      </c>
      <c r="I9" s="9">
        <f t="shared" si="1"/>
        <v>62.8</v>
      </c>
      <c r="J9" s="9">
        <f t="shared" si="2"/>
        <v>21991.932</v>
      </c>
    </row>
    <row r="10">
      <c r="A10" s="7">
        <v>45911.0</v>
      </c>
      <c r="B10" s="9">
        <v>0.0</v>
      </c>
      <c r="C10" s="9">
        <v>-35.2</v>
      </c>
      <c r="D10" s="9">
        <v>-266.6</v>
      </c>
      <c r="E10" s="9"/>
      <c r="F10" s="9"/>
      <c r="G10" s="9"/>
      <c r="H10" s="9">
        <v>358.89</v>
      </c>
      <c r="I10" s="9">
        <f t="shared" ref="I10:I57" si="3">SUM(B10:G10)</f>
        <v>-301.8</v>
      </c>
      <c r="J10" s="9">
        <f t="shared" si="2"/>
        <v>-108313.002</v>
      </c>
    </row>
    <row r="11">
      <c r="A11" s="7">
        <v>45912.0</v>
      </c>
      <c r="B11" s="9">
        <v>-48.6</v>
      </c>
      <c r="C11" s="9">
        <v>-23.8</v>
      </c>
      <c r="D11" s="9">
        <f>-236.7*2</f>
        <v>-473.4</v>
      </c>
      <c r="E11" s="9">
        <v>0.0</v>
      </c>
      <c r="F11" s="9">
        <v>-7.6</v>
      </c>
      <c r="G11" s="9">
        <v>-65.0</v>
      </c>
      <c r="H11" s="76">
        <v>383.45</v>
      </c>
      <c r="I11" s="9">
        <f t="shared" si="3"/>
        <v>-618.4</v>
      </c>
      <c r="J11" s="9">
        <f t="shared" si="2"/>
        <v>-237125.48</v>
      </c>
    </row>
    <row r="12">
      <c r="A12" s="7">
        <v>45915.0</v>
      </c>
      <c r="B12" s="9">
        <v>-327.2</v>
      </c>
      <c r="C12" s="9">
        <f>-18.9*2</f>
        <v>-37.8</v>
      </c>
      <c r="D12" s="9">
        <f>-288.8*2</f>
        <v>-577.6</v>
      </c>
      <c r="E12" s="9">
        <f>-1.8*1.25</f>
        <v>-2.25</v>
      </c>
      <c r="F12" s="9">
        <v>-36.0</v>
      </c>
      <c r="G12" s="9">
        <v>-14.8</v>
      </c>
      <c r="H12" s="148">
        <v>415.33</v>
      </c>
      <c r="I12" s="9">
        <f t="shared" si="3"/>
        <v>-995.65</v>
      </c>
      <c r="J12" s="9">
        <f t="shared" si="2"/>
        <v>-413523.3145</v>
      </c>
    </row>
    <row r="13">
      <c r="A13" s="7">
        <v>45916.0</v>
      </c>
      <c r="B13" s="9">
        <v>-229.6</v>
      </c>
      <c r="C13" s="9">
        <f>14.8*2</f>
        <v>29.6</v>
      </c>
      <c r="D13" s="9">
        <f>-303.8*2</f>
        <v>-607.6</v>
      </c>
      <c r="E13" s="9">
        <f>1.5*1.25</f>
        <v>1.875</v>
      </c>
      <c r="F13" s="9">
        <v>-11.8</v>
      </c>
      <c r="G13" s="9">
        <v>-4.8</v>
      </c>
      <c r="H13" s="148">
        <v>417.7</v>
      </c>
      <c r="I13" s="9">
        <f t="shared" si="3"/>
        <v>-822.325</v>
      </c>
      <c r="J13" s="9">
        <f t="shared" si="2"/>
        <v>-343485.1525</v>
      </c>
    </row>
    <row r="14">
      <c r="A14" s="7">
        <v>45917.0</v>
      </c>
      <c r="B14" s="9">
        <v>-5.2</v>
      </c>
      <c r="C14" s="9">
        <v>-26.6</v>
      </c>
      <c r="D14" s="9">
        <f>19.3*2</f>
        <v>38.6</v>
      </c>
      <c r="E14" s="9">
        <v>0.0</v>
      </c>
      <c r="F14" s="9">
        <v>0.0</v>
      </c>
      <c r="G14" s="9">
        <v>3.4</v>
      </c>
      <c r="H14" s="148">
        <v>419.9</v>
      </c>
      <c r="I14" s="9">
        <f t="shared" si="3"/>
        <v>10.2</v>
      </c>
      <c r="J14" s="9">
        <f t="shared" si="2"/>
        <v>4282.98</v>
      </c>
    </row>
    <row r="15">
      <c r="A15" s="7">
        <v>45918.0</v>
      </c>
      <c r="B15" s="9">
        <v>44.4</v>
      </c>
      <c r="C15" s="9">
        <v>-44.8</v>
      </c>
      <c r="D15" s="9">
        <f>-69.8*2</f>
        <v>-139.6</v>
      </c>
      <c r="E15" s="9">
        <v>0.0</v>
      </c>
      <c r="F15" s="9">
        <v>0.0</v>
      </c>
      <c r="G15" s="9">
        <v>13.0</v>
      </c>
      <c r="H15" s="148">
        <v>423.62</v>
      </c>
      <c r="I15" s="9">
        <f t="shared" si="3"/>
        <v>-127</v>
      </c>
      <c r="J15" s="9">
        <f t="shared" si="2"/>
        <v>-53799.74</v>
      </c>
    </row>
    <row r="16">
      <c r="A16" s="7">
        <v>45919.0</v>
      </c>
      <c r="B16" s="9">
        <v>10.8</v>
      </c>
      <c r="C16" s="9">
        <v>-9.6</v>
      </c>
      <c r="D16" s="9">
        <f>-169.8*2</f>
        <v>-339.6</v>
      </c>
      <c r="E16" s="9">
        <f>2.1*1.25</f>
        <v>2.625</v>
      </c>
      <c r="F16" s="9">
        <v>-7.8</v>
      </c>
      <c r="G16" s="9">
        <v>-4.6</v>
      </c>
      <c r="H16" s="148">
        <v>424.77</v>
      </c>
      <c r="I16" s="9">
        <f t="shared" si="3"/>
        <v>-348.175</v>
      </c>
      <c r="J16" s="9">
        <f t="shared" si="2"/>
        <v>-147894.2948</v>
      </c>
    </row>
    <row r="17">
      <c r="A17" s="7">
        <v>45922.0</v>
      </c>
      <c r="B17" s="9">
        <v>-21.0</v>
      </c>
      <c r="C17" s="9">
        <v>-4.8</v>
      </c>
      <c r="D17" s="9">
        <f>-61.9*2</f>
        <v>-123.8</v>
      </c>
      <c r="E17" s="9">
        <v>0.0</v>
      </c>
      <c r="F17" s="9">
        <v>0.0</v>
      </c>
      <c r="G17" s="9">
        <v>5.6</v>
      </c>
      <c r="H17" s="9">
        <v>434.86</v>
      </c>
      <c r="I17" s="9">
        <f t="shared" si="3"/>
        <v>-144</v>
      </c>
      <c r="J17" s="9">
        <f t="shared" si="2"/>
        <v>-62619.84</v>
      </c>
    </row>
    <row r="18">
      <c r="A18" s="7">
        <v>45923.0</v>
      </c>
      <c r="B18" s="9">
        <v>-41.0</v>
      </c>
      <c r="C18" s="9">
        <v>-2.2</v>
      </c>
      <c r="D18" s="9">
        <f>-108.5*2</f>
        <v>-217</v>
      </c>
      <c r="E18" s="9">
        <v>0.0</v>
      </c>
      <c r="F18" s="9">
        <v>0.0</v>
      </c>
      <c r="G18" s="9">
        <v>-0.6</v>
      </c>
      <c r="H18" s="9">
        <v>432.61</v>
      </c>
      <c r="I18" s="9">
        <f t="shared" si="3"/>
        <v>-260.8</v>
      </c>
      <c r="J18" s="9">
        <f t="shared" si="2"/>
        <v>-112824.688</v>
      </c>
    </row>
    <row r="19">
      <c r="A19" s="7">
        <v>45924.0</v>
      </c>
      <c r="B19" s="9">
        <v>0.0</v>
      </c>
      <c r="C19" s="9">
        <v>0.0</v>
      </c>
      <c r="D19" s="9">
        <v>0.0</v>
      </c>
      <c r="E19" s="9">
        <v>0.0</v>
      </c>
      <c r="F19" s="9">
        <v>-2.6</v>
      </c>
      <c r="G19" s="9">
        <v>-12.6</v>
      </c>
      <c r="H19" s="9">
        <v>436.47</v>
      </c>
      <c r="I19" s="9">
        <f t="shared" si="3"/>
        <v>-15.2</v>
      </c>
      <c r="J19" s="9">
        <f t="shared" si="2"/>
        <v>-6634.344</v>
      </c>
    </row>
    <row r="20">
      <c r="A20" s="7">
        <v>45925.0</v>
      </c>
      <c r="B20" s="9">
        <v>0.0</v>
      </c>
      <c r="C20" s="9">
        <v>-10.8</v>
      </c>
      <c r="D20" s="9">
        <f>-163.1*2</f>
        <v>-326.2</v>
      </c>
      <c r="E20" s="9">
        <v>0.0</v>
      </c>
      <c r="F20" s="9">
        <v>-3.4</v>
      </c>
      <c r="G20" s="9">
        <v>7.0</v>
      </c>
      <c r="H20" s="9">
        <v>428.27</v>
      </c>
      <c r="I20" s="9">
        <f t="shared" si="3"/>
        <v>-333.4</v>
      </c>
      <c r="J20" s="9">
        <f t="shared" si="2"/>
        <v>-142785.218</v>
      </c>
    </row>
    <row r="21">
      <c r="A21" s="7">
        <v>45926.0</v>
      </c>
      <c r="B21" s="9">
        <v>63.4</v>
      </c>
      <c r="C21" s="9">
        <f>-9.7*2</f>
        <v>-19.4</v>
      </c>
      <c r="D21" s="9">
        <v>100.8</v>
      </c>
      <c r="E21" s="9">
        <f>3.2*1.25</f>
        <v>4</v>
      </c>
      <c r="F21" s="9">
        <v>0.0</v>
      </c>
      <c r="G21" s="9">
        <v>-15.2</v>
      </c>
      <c r="H21" s="9">
        <v>432.55</v>
      </c>
      <c r="I21" s="9">
        <f t="shared" si="3"/>
        <v>133.6</v>
      </c>
      <c r="J21" s="9">
        <f t="shared" si="2"/>
        <v>57788.68</v>
      </c>
    </row>
    <row r="22">
      <c r="A22" s="7">
        <v>45929.0</v>
      </c>
      <c r="B22" s="9">
        <v>-41.6</v>
      </c>
      <c r="C22" s="9">
        <v>-5.6</v>
      </c>
      <c r="D22" s="9">
        <v>167.2</v>
      </c>
      <c r="E22" s="9">
        <v>0.0</v>
      </c>
      <c r="F22" s="9">
        <v>-8.0</v>
      </c>
      <c r="G22" s="9">
        <v>3.8</v>
      </c>
      <c r="H22" s="9">
        <v>444.51</v>
      </c>
      <c r="I22" s="9">
        <f t="shared" si="3"/>
        <v>115.8</v>
      </c>
      <c r="J22" s="9">
        <f t="shared" si="2"/>
        <v>51474.258</v>
      </c>
    </row>
    <row r="23">
      <c r="A23" s="7">
        <v>45930.0</v>
      </c>
      <c r="B23" s="9">
        <v>-51.6</v>
      </c>
      <c r="C23" s="9">
        <v>0.0</v>
      </c>
      <c r="D23" s="9">
        <v>-52.4</v>
      </c>
      <c r="E23" s="9">
        <v>0.0</v>
      </c>
      <c r="F23" s="9">
        <v>-18.6</v>
      </c>
      <c r="G23" s="9">
        <v>7.4</v>
      </c>
      <c r="H23" s="9">
        <v>441.09</v>
      </c>
      <c r="I23" s="9">
        <f t="shared" si="3"/>
        <v>-115.2</v>
      </c>
      <c r="J23" s="9">
        <f t="shared" si="2"/>
        <v>-50813.568</v>
      </c>
    </row>
    <row r="24">
      <c r="A24" s="7">
        <v>45931.0</v>
      </c>
      <c r="B24" s="9">
        <v>14.6</v>
      </c>
      <c r="C24" s="9">
        <v>0.0</v>
      </c>
      <c r="D24" s="9">
        <v>-4.8</v>
      </c>
      <c r="E24" s="9">
        <v>0.0</v>
      </c>
      <c r="F24" s="9">
        <v>-0.6</v>
      </c>
      <c r="G24" s="9">
        <v>-25.8</v>
      </c>
      <c r="H24" s="9">
        <v>451.58</v>
      </c>
      <c r="I24" s="9">
        <f t="shared" si="3"/>
        <v>-16.6</v>
      </c>
      <c r="J24" s="9">
        <f t="shared" si="2"/>
        <v>-7496.228</v>
      </c>
    </row>
    <row r="25">
      <c r="A25" s="7">
        <v>45932.0</v>
      </c>
      <c r="B25" s="9">
        <v>-3.3</v>
      </c>
      <c r="C25" s="9">
        <v>48.4</v>
      </c>
      <c r="D25" s="9">
        <v>-480.8</v>
      </c>
      <c r="E25" s="9">
        <f>2.3*1.25</f>
        <v>2.875</v>
      </c>
      <c r="F25" s="9">
        <v>-2.2</v>
      </c>
      <c r="G25" s="9">
        <v>7.4</v>
      </c>
      <c r="H25" s="9">
        <v>453.22</v>
      </c>
      <c r="I25" s="9">
        <f t="shared" si="3"/>
        <v>-427.625</v>
      </c>
      <c r="J25" s="9">
        <f t="shared" si="2"/>
        <v>-193808.2025</v>
      </c>
    </row>
    <row r="26">
      <c r="A26" s="7">
        <v>45933.0</v>
      </c>
      <c r="B26" s="9">
        <v>5.4</v>
      </c>
      <c r="C26" s="9">
        <v>43.4</v>
      </c>
      <c r="D26" s="9">
        <v>186.0</v>
      </c>
      <c r="E26" s="9">
        <f>1.6*1.25</f>
        <v>2</v>
      </c>
      <c r="F26" s="9">
        <v>5.2</v>
      </c>
      <c r="G26" s="9">
        <v>25.0</v>
      </c>
      <c r="H26" s="9">
        <v>434.12</v>
      </c>
      <c r="I26" s="9">
        <f t="shared" si="3"/>
        <v>267</v>
      </c>
      <c r="J26" s="9">
        <f t="shared" si="2"/>
        <v>115910.04</v>
      </c>
    </row>
    <row r="27">
      <c r="A27" s="7">
        <v>45936.0</v>
      </c>
      <c r="B27" s="9">
        <v>-30.6</v>
      </c>
      <c r="C27" s="9">
        <v>89.0</v>
      </c>
      <c r="D27" s="9">
        <v>510.4</v>
      </c>
      <c r="E27" s="9">
        <v>0.0</v>
      </c>
      <c r="F27" s="9">
        <v>-7.6</v>
      </c>
      <c r="G27" s="9">
        <f>-13.6*2</f>
        <v>-27.2</v>
      </c>
      <c r="H27" s="9">
        <v>446.06</v>
      </c>
      <c r="I27" s="9">
        <f t="shared" si="3"/>
        <v>534</v>
      </c>
      <c r="J27" s="14">
        <f t="shared" si="2"/>
        <v>238196.04</v>
      </c>
    </row>
    <row r="28">
      <c r="A28" s="7">
        <v>45937.0</v>
      </c>
      <c r="B28" s="9">
        <v>73.0</v>
      </c>
      <c r="C28" s="9">
        <v>-19.0</v>
      </c>
      <c r="D28" s="14">
        <f>-199.1*2</f>
        <v>-398.2</v>
      </c>
      <c r="E28" s="14">
        <f>-14.8*1.25</f>
        <v>-18.5</v>
      </c>
      <c r="F28" s="9">
        <v>0.0</v>
      </c>
      <c r="G28" s="9">
        <v>6.2</v>
      </c>
      <c r="H28" s="9">
        <v>441.5</v>
      </c>
      <c r="I28" s="9">
        <f t="shared" si="3"/>
        <v>-356.5</v>
      </c>
      <c r="J28" s="14">
        <f t="shared" si="2"/>
        <v>-157394.75</v>
      </c>
    </row>
    <row r="29">
      <c r="A29" s="7">
        <v>45938.0</v>
      </c>
      <c r="B29" s="9">
        <v>71.2</v>
      </c>
      <c r="C29" s="9">
        <v>-2.2</v>
      </c>
      <c r="D29" s="9">
        <v>4.0</v>
      </c>
      <c r="E29" s="9">
        <v>0.0</v>
      </c>
      <c r="F29" s="9">
        <v>-10.2</v>
      </c>
      <c r="G29" s="9">
        <v>11.2</v>
      </c>
      <c r="H29" s="9">
        <v>435.71</v>
      </c>
      <c r="I29" s="9">
        <f t="shared" si="3"/>
        <v>74</v>
      </c>
      <c r="J29" s="14">
        <f t="shared" si="2"/>
        <v>32242.54</v>
      </c>
    </row>
    <row r="30">
      <c r="A30" s="7">
        <v>45939.0</v>
      </c>
      <c r="B30" s="9">
        <v>29.0</v>
      </c>
      <c r="C30" s="9">
        <v>0.0</v>
      </c>
      <c r="D30" s="9">
        <v>-26.4</v>
      </c>
      <c r="E30" s="9">
        <v>-0.5</v>
      </c>
      <c r="F30" s="9">
        <v>6.0</v>
      </c>
      <c r="G30" s="9">
        <v>-5.0</v>
      </c>
      <c r="H30" s="9">
        <v>432.47</v>
      </c>
      <c r="I30" s="9">
        <f t="shared" si="3"/>
        <v>3.1</v>
      </c>
      <c r="J30" s="14">
        <f t="shared" si="2"/>
        <v>1340.657</v>
      </c>
    </row>
    <row r="31">
      <c r="A31" s="7">
        <v>45940.0</v>
      </c>
      <c r="B31" s="9">
        <v>28.8</v>
      </c>
      <c r="C31" s="9">
        <v>-5.0</v>
      </c>
      <c r="D31" s="9">
        <v>0.0</v>
      </c>
      <c r="E31" s="9">
        <v>0.0</v>
      </c>
      <c r="F31" s="9">
        <v>-20.6</v>
      </c>
      <c r="G31" s="9">
        <v>-14.4</v>
      </c>
      <c r="H31" s="9">
        <v>426.15</v>
      </c>
      <c r="I31" s="9">
        <f t="shared" si="3"/>
        <v>-11.2</v>
      </c>
      <c r="J31" s="14">
        <f t="shared" si="2"/>
        <v>-4772.88</v>
      </c>
    </row>
    <row r="32">
      <c r="A32" s="7">
        <v>45943.0</v>
      </c>
      <c r="B32" s="14">
        <f>16.9*-2</f>
        <v>-33.8</v>
      </c>
      <c r="C32" s="9">
        <v>0.0</v>
      </c>
      <c r="D32" s="14">
        <f>-14.8*2</f>
        <v>-29.6</v>
      </c>
      <c r="E32" s="14">
        <f>2.9*1.25</f>
        <v>3.625</v>
      </c>
      <c r="F32" s="14">
        <f>-4.1*2</f>
        <v>-8.2</v>
      </c>
      <c r="G32" s="14">
        <f>22.8*2</f>
        <v>45.6</v>
      </c>
      <c r="H32" s="9">
        <v>429.01</v>
      </c>
      <c r="I32" s="14">
        <f t="shared" si="3"/>
        <v>-22.375</v>
      </c>
      <c r="J32" s="14">
        <f t="shared" si="2"/>
        <v>-9599.09875</v>
      </c>
      <c r="L32" s="132"/>
      <c r="M32" s="78"/>
      <c r="N32" s="78"/>
    </row>
    <row r="33">
      <c r="A33" s="7">
        <v>45944.0</v>
      </c>
      <c r="B33" s="9">
        <v>10.4</v>
      </c>
      <c r="C33" s="9">
        <v>-16.2</v>
      </c>
      <c r="D33" s="9">
        <v>364.2</v>
      </c>
      <c r="E33" s="9">
        <v>0.0</v>
      </c>
      <c r="F33" s="9">
        <v>0.0</v>
      </c>
      <c r="G33" s="9">
        <f>-2*2.9</f>
        <v>-5.8</v>
      </c>
      <c r="H33" s="9">
        <v>427.1</v>
      </c>
      <c r="I33" s="14">
        <f t="shared" si="3"/>
        <v>352.6</v>
      </c>
      <c r="J33" s="14">
        <f t="shared" si="2"/>
        <v>150595.46</v>
      </c>
      <c r="L33" s="133"/>
      <c r="M33" s="45"/>
      <c r="N33" s="86"/>
      <c r="P33" s="132"/>
      <c r="Q33" s="78"/>
      <c r="R33" s="78"/>
    </row>
    <row r="34">
      <c r="A34" s="7">
        <v>45945.0</v>
      </c>
      <c r="B34" s="9">
        <v>43.0</v>
      </c>
      <c r="C34" s="9">
        <v>-3.6</v>
      </c>
      <c r="D34" s="14">
        <f>184.5*2</f>
        <v>369</v>
      </c>
      <c r="E34" s="9">
        <v>0.0</v>
      </c>
      <c r="F34" s="9">
        <v>-11.2</v>
      </c>
      <c r="G34" s="9">
        <v>6.6</v>
      </c>
      <c r="H34" s="9">
        <v>434.0</v>
      </c>
      <c r="I34" s="14">
        <f t="shared" si="3"/>
        <v>403.8</v>
      </c>
      <c r="J34" s="14">
        <f t="shared" si="2"/>
        <v>175249.2</v>
      </c>
      <c r="L34" s="134"/>
      <c r="M34" s="18"/>
      <c r="N34" s="86"/>
      <c r="P34" s="78"/>
      <c r="Q34" s="115"/>
      <c r="R34" s="80"/>
    </row>
    <row r="35">
      <c r="A35" s="7">
        <v>45946.0</v>
      </c>
      <c r="B35" s="9">
        <v>19.6</v>
      </c>
      <c r="C35" s="9">
        <v>-8.0</v>
      </c>
      <c r="D35" s="9">
        <v>-59.6</v>
      </c>
      <c r="E35" s="9">
        <v>0.0</v>
      </c>
      <c r="F35" s="9">
        <v>-2.0</v>
      </c>
      <c r="G35" s="9">
        <v>2.4</v>
      </c>
      <c r="H35" s="9">
        <v>429.8</v>
      </c>
      <c r="I35" s="14">
        <f t="shared" si="3"/>
        <v>-47.6</v>
      </c>
      <c r="J35" s="14">
        <f t="shared" si="2"/>
        <v>-20458.48</v>
      </c>
      <c r="L35" s="133"/>
      <c r="M35" s="45"/>
      <c r="N35" s="86"/>
      <c r="P35" s="145"/>
      <c r="Q35" s="81"/>
      <c r="R35" s="81"/>
    </row>
    <row r="36">
      <c r="A36" s="7">
        <v>45947.0</v>
      </c>
      <c r="B36" s="9">
        <v>41.8</v>
      </c>
      <c r="C36" s="9">
        <v>-5.8</v>
      </c>
      <c r="D36" s="9">
        <v>59.8</v>
      </c>
      <c r="E36" s="14">
        <f>5.2*1.25</f>
        <v>6.5</v>
      </c>
      <c r="F36" s="9">
        <v>-13.6</v>
      </c>
      <c r="G36" s="9">
        <v>-16.6</v>
      </c>
      <c r="H36" s="9">
        <v>434.79</v>
      </c>
      <c r="I36" s="14">
        <f t="shared" si="3"/>
        <v>72.1</v>
      </c>
      <c r="J36" s="14">
        <f t="shared" si="2"/>
        <v>31348.359</v>
      </c>
      <c r="L36" s="134"/>
      <c r="M36" s="18"/>
      <c r="N36" s="86"/>
      <c r="P36" s="78"/>
      <c r="Q36" s="115"/>
      <c r="R36" s="80"/>
    </row>
    <row r="37">
      <c r="A37" s="7">
        <v>45950.0</v>
      </c>
      <c r="B37" s="14">
        <f>-17.8*2</f>
        <v>-35.6</v>
      </c>
      <c r="C37" s="14">
        <f>-3.8*2</f>
        <v>-7.6</v>
      </c>
      <c r="D37" s="14">
        <f>-220.6*2</f>
        <v>-441.2</v>
      </c>
      <c r="E37" s="14">
        <f>0.6*1.25</f>
        <v>0.75</v>
      </c>
      <c r="F37" s="9">
        <v>-5.2</v>
      </c>
      <c r="G37" s="9">
        <v>5.6</v>
      </c>
      <c r="H37" s="9">
        <v>445.95</v>
      </c>
      <c r="I37" s="14">
        <f t="shared" si="3"/>
        <v>-483.25</v>
      </c>
      <c r="J37" s="14">
        <f t="shared" si="2"/>
        <v>-215505.3375</v>
      </c>
      <c r="L37" s="133"/>
      <c r="M37" s="45"/>
      <c r="N37" s="86"/>
      <c r="P37" s="145"/>
      <c r="Q37" s="81"/>
      <c r="R37" s="81"/>
    </row>
    <row r="38">
      <c r="A38" s="7">
        <v>45951.0</v>
      </c>
      <c r="B38" s="14">
        <f>265.8*2</f>
        <v>531.6</v>
      </c>
      <c r="C38" s="9">
        <v>0.0</v>
      </c>
      <c r="D38" s="14">
        <f>-52.3*2</f>
        <v>-104.6</v>
      </c>
      <c r="E38" s="9">
        <v>0.0</v>
      </c>
      <c r="F38" s="9">
        <v>0.0</v>
      </c>
      <c r="G38" s="9">
        <v>-5.2</v>
      </c>
      <c r="H38" s="9">
        <v>444.65</v>
      </c>
      <c r="I38" s="14">
        <f t="shared" si="3"/>
        <v>421.8</v>
      </c>
      <c r="J38" s="14">
        <f t="shared" si="2"/>
        <v>187553.37</v>
      </c>
      <c r="L38" s="134"/>
      <c r="M38" s="18"/>
      <c r="N38" s="86"/>
      <c r="P38" s="78"/>
      <c r="Q38" s="115"/>
      <c r="R38" s="80"/>
    </row>
    <row r="39">
      <c r="A39" s="7">
        <v>45952.0</v>
      </c>
      <c r="B39" s="14">
        <f>17.9*2</f>
        <v>35.8</v>
      </c>
      <c r="C39" s="9">
        <v>0.0</v>
      </c>
      <c r="D39" s="14">
        <f>-29.2*2</f>
        <v>-58.4</v>
      </c>
      <c r="E39" s="9">
        <v>0.0</v>
      </c>
      <c r="F39" s="9">
        <v>2.6</v>
      </c>
      <c r="G39" s="9">
        <v>-4.2</v>
      </c>
      <c r="H39" s="9">
        <v>437.84</v>
      </c>
      <c r="I39" s="14">
        <f t="shared" si="3"/>
        <v>-24.2</v>
      </c>
      <c r="J39" s="14">
        <f t="shared" si="2"/>
        <v>-10595.728</v>
      </c>
      <c r="L39" s="134"/>
      <c r="M39" s="18"/>
      <c r="N39" s="86"/>
    </row>
    <row r="40">
      <c r="A40" s="7">
        <v>45953.0</v>
      </c>
      <c r="B40" s="9">
        <v>26.2</v>
      </c>
      <c r="C40" s="9">
        <v>0.0</v>
      </c>
      <c r="D40" s="9">
        <v>-4.0</v>
      </c>
      <c r="E40" s="14">
        <f>3.5*1.25</f>
        <v>4.375</v>
      </c>
      <c r="F40" s="9">
        <v>-3.2</v>
      </c>
      <c r="G40" s="9">
        <v>2.2</v>
      </c>
      <c r="H40" s="9">
        <v>437.43</v>
      </c>
      <c r="I40" s="14">
        <f t="shared" si="3"/>
        <v>25.575</v>
      </c>
      <c r="J40" s="14">
        <f t="shared" si="2"/>
        <v>11187.27225</v>
      </c>
      <c r="L40" s="134"/>
      <c r="M40" s="18"/>
      <c r="N40" s="86"/>
    </row>
    <row r="41">
      <c r="A41" s="7">
        <v>45954.0</v>
      </c>
      <c r="B41" s="9">
        <v>4.8</v>
      </c>
      <c r="C41" s="9">
        <v>0.0</v>
      </c>
      <c r="D41" s="9">
        <v>306.0</v>
      </c>
      <c r="E41" s="9">
        <v>0.0</v>
      </c>
      <c r="F41" s="9">
        <v>3.4</v>
      </c>
      <c r="G41" s="9">
        <v>15.8</v>
      </c>
      <c r="H41" s="9">
        <v>438.52</v>
      </c>
      <c r="I41" s="14">
        <f t="shared" si="3"/>
        <v>330</v>
      </c>
      <c r="J41" s="14">
        <f t="shared" si="2"/>
        <v>144711.6</v>
      </c>
      <c r="L41" s="134"/>
      <c r="M41" s="18"/>
      <c r="N41" s="86"/>
    </row>
    <row r="42">
      <c r="A42" s="7">
        <v>45957.0</v>
      </c>
      <c r="B42" s="9">
        <v>58.0</v>
      </c>
      <c r="C42" s="9">
        <v>-13.2</v>
      </c>
      <c r="D42" s="14">
        <f>PRODUCT(362.9, 2)</f>
        <v>725.8</v>
      </c>
      <c r="E42" s="14">
        <f>2.2*1.25</f>
        <v>2.75</v>
      </c>
      <c r="F42" s="9">
        <v>-18.4</v>
      </c>
      <c r="G42" s="9">
        <v>-18.6</v>
      </c>
      <c r="H42" s="9">
        <v>450.0</v>
      </c>
      <c r="I42" s="14">
        <f t="shared" si="3"/>
        <v>736.35</v>
      </c>
      <c r="J42" s="14">
        <f t="shared" si="2"/>
        <v>331357.5</v>
      </c>
      <c r="L42" s="134"/>
      <c r="M42" s="18"/>
      <c r="N42" s="86"/>
    </row>
    <row r="43">
      <c r="A43" s="7">
        <v>45958.0</v>
      </c>
      <c r="B43" s="9">
        <v>-129.4</v>
      </c>
      <c r="C43" s="9">
        <v>-19.0</v>
      </c>
      <c r="D43" s="14">
        <f>-369.1*2</f>
        <v>-738.2</v>
      </c>
      <c r="E43" s="14">
        <f>1.5*1.25</f>
        <v>1.875</v>
      </c>
      <c r="F43" s="9">
        <v>-13.0</v>
      </c>
      <c r="G43" s="9">
        <v>-28.0</v>
      </c>
      <c r="H43" s="9">
        <v>459.72</v>
      </c>
      <c r="I43" s="14">
        <f t="shared" si="3"/>
        <v>-925.725</v>
      </c>
      <c r="J43" s="14">
        <f t="shared" si="2"/>
        <v>-425574.297</v>
      </c>
      <c r="L43" s="134"/>
      <c r="M43" s="18"/>
      <c r="N43" s="86"/>
    </row>
    <row r="44">
      <c r="A44" s="7">
        <v>45959.0</v>
      </c>
      <c r="B44" s="9">
        <v>0.8</v>
      </c>
      <c r="C44" s="9">
        <v>-3.0</v>
      </c>
      <c r="D44" s="9">
        <v>-361.4</v>
      </c>
      <c r="E44" s="9">
        <v>0.0</v>
      </c>
      <c r="F44" s="9">
        <v>-2.8</v>
      </c>
      <c r="G44" s="9">
        <v>11.6</v>
      </c>
      <c r="H44" s="9">
        <v>459.95</v>
      </c>
      <c r="I44" s="14">
        <f t="shared" si="3"/>
        <v>-354.8</v>
      </c>
      <c r="J44" s="14">
        <f t="shared" si="2"/>
        <v>-163190.26</v>
      </c>
      <c r="L44" s="134"/>
      <c r="M44" s="18"/>
      <c r="N44" s="86"/>
    </row>
    <row r="45">
      <c r="A45" s="7">
        <v>45960.0</v>
      </c>
      <c r="B45" s="9">
        <v>26.8</v>
      </c>
      <c r="C45" s="9">
        <v>-2.8</v>
      </c>
      <c r="D45" s="9">
        <v>-181.4</v>
      </c>
      <c r="E45" s="14">
        <f>-18.6*1.25</f>
        <v>-23.25</v>
      </c>
      <c r="F45" s="9">
        <v>12.2</v>
      </c>
      <c r="G45" s="9">
        <v>27.6</v>
      </c>
      <c r="H45" s="9">
        <v>444.92</v>
      </c>
      <c r="I45" s="14">
        <f t="shared" si="3"/>
        <v>-140.85</v>
      </c>
      <c r="J45" s="14">
        <f t="shared" si="2"/>
        <v>-62666.982</v>
      </c>
      <c r="L45" s="134"/>
      <c r="M45" s="18"/>
      <c r="N45" s="86"/>
    </row>
    <row r="46">
      <c r="A46" s="7">
        <v>45961.0</v>
      </c>
      <c r="B46" s="9">
        <v>126.6</v>
      </c>
      <c r="C46" s="9">
        <v>-3.8</v>
      </c>
      <c r="D46" s="14">
        <f>-158.8*2</f>
        <v>-317.6</v>
      </c>
      <c r="E46" s="14">
        <f>3.3*1.25</f>
        <v>4.125</v>
      </c>
      <c r="F46" s="9">
        <v>-0.6</v>
      </c>
      <c r="G46" s="9">
        <v>0.0</v>
      </c>
      <c r="H46" s="9">
        <v>452.75</v>
      </c>
      <c r="I46" s="14">
        <f t="shared" si="3"/>
        <v>-191.275</v>
      </c>
      <c r="J46" s="14">
        <f t="shared" si="2"/>
        <v>-86599.75625</v>
      </c>
      <c r="L46" s="136"/>
      <c r="M46" s="91"/>
      <c r="N46" s="90"/>
    </row>
    <row r="47">
      <c r="A47" s="7">
        <v>45964.0</v>
      </c>
      <c r="B47" s="9">
        <v>9.4</v>
      </c>
      <c r="C47" s="9">
        <v>0.0</v>
      </c>
      <c r="D47" s="9">
        <v>-449.4</v>
      </c>
      <c r="E47" s="9">
        <v>0.0</v>
      </c>
      <c r="F47" s="9">
        <v>-8.6</v>
      </c>
      <c r="G47" s="9">
        <v>-12.6</v>
      </c>
      <c r="H47" s="9">
        <v>465.41</v>
      </c>
      <c r="I47" s="14">
        <f t="shared" si="3"/>
        <v>-461.2</v>
      </c>
      <c r="J47" s="14">
        <f t="shared" si="2"/>
        <v>-214647.092</v>
      </c>
      <c r="L47" s="91"/>
      <c r="M47" s="121"/>
      <c r="N47" s="93"/>
    </row>
    <row r="48">
      <c r="A48" s="7">
        <v>45965.0</v>
      </c>
      <c r="B48" s="9">
        <v>-60.6</v>
      </c>
      <c r="C48" s="9">
        <v>-20.2</v>
      </c>
      <c r="D48" s="14">
        <f>-139.3*2</f>
        <v>-278.6</v>
      </c>
      <c r="E48" s="9">
        <v>0.0</v>
      </c>
      <c r="F48" s="9">
        <v>0.0</v>
      </c>
      <c r="G48" s="9">
        <v>0.0</v>
      </c>
      <c r="H48" s="9">
        <v>449.36</v>
      </c>
      <c r="I48" s="14">
        <f t="shared" si="3"/>
        <v>-359.4</v>
      </c>
      <c r="J48" s="14">
        <f t="shared" si="2"/>
        <v>-161499.984</v>
      </c>
      <c r="L48" s="94"/>
      <c r="M48" s="94"/>
      <c r="N48" s="96"/>
    </row>
    <row r="49">
      <c r="A49" s="7">
        <v>45966.0</v>
      </c>
      <c r="B49" s="9">
        <v>146.6</v>
      </c>
      <c r="C49" s="9">
        <v>0.0</v>
      </c>
      <c r="D49" s="9">
        <v>15.2</v>
      </c>
      <c r="E49" s="9">
        <v>0.0</v>
      </c>
      <c r="F49" s="9">
        <v>5.8</v>
      </c>
      <c r="G49" s="9">
        <v>-8.6</v>
      </c>
      <c r="H49" s="9">
        <v>456.37</v>
      </c>
      <c r="I49" s="14">
        <f t="shared" si="3"/>
        <v>159</v>
      </c>
      <c r="J49" s="14">
        <f t="shared" si="2"/>
        <v>72562.83</v>
      </c>
      <c r="L49" s="91"/>
      <c r="M49" s="121"/>
      <c r="N49" s="93"/>
    </row>
    <row r="50">
      <c r="A50" s="7">
        <v>45967.0</v>
      </c>
      <c r="B50" s="14">
        <f>-19.5*2</f>
        <v>-39</v>
      </c>
      <c r="C50" s="9">
        <v>6.0</v>
      </c>
      <c r="D50" s="14">
        <f>197.4*2</f>
        <v>394.8</v>
      </c>
      <c r="E50" s="9">
        <v>0.0</v>
      </c>
      <c r="F50" s="9">
        <v>19.6</v>
      </c>
      <c r="G50" s="9">
        <f>8.8*2</f>
        <v>17.6</v>
      </c>
      <c r="H50" s="9">
        <v>449.48</v>
      </c>
      <c r="I50" s="14">
        <f t="shared" si="3"/>
        <v>399</v>
      </c>
      <c r="J50" s="14">
        <f t="shared" si="2"/>
        <v>179342.52</v>
      </c>
      <c r="L50" s="94"/>
      <c r="M50" s="94"/>
      <c r="N50" s="96"/>
    </row>
    <row r="51">
      <c r="A51" s="7">
        <v>45968.0</v>
      </c>
      <c r="B51" s="9">
        <v>87.0</v>
      </c>
      <c r="C51" s="9">
        <v>3.4</v>
      </c>
      <c r="D51" s="14">
        <f>136.6*2</f>
        <v>273.2</v>
      </c>
      <c r="E51" s="14">
        <f>2.6*1.25</f>
        <v>3.25</v>
      </c>
      <c r="F51" s="9">
        <v>6.6</v>
      </c>
      <c r="G51" s="9">
        <v>11.0</v>
      </c>
      <c r="H51" s="9">
        <v>430.25</v>
      </c>
      <c r="I51" s="14">
        <f t="shared" si="3"/>
        <v>384.45</v>
      </c>
      <c r="J51" s="14">
        <f t="shared" si="2"/>
        <v>165409.6125</v>
      </c>
      <c r="L51" s="136"/>
      <c r="M51" s="91"/>
      <c r="N51" s="90"/>
      <c r="P51" s="137" t="s">
        <v>186</v>
      </c>
      <c r="Q51" s="33" t="s">
        <v>65</v>
      </c>
      <c r="R51" s="33" t="s">
        <v>66</v>
      </c>
    </row>
    <row r="52">
      <c r="A52" s="7">
        <v>45971.0</v>
      </c>
      <c r="B52" s="9">
        <v>10.0</v>
      </c>
      <c r="C52" s="9">
        <v>8.2</v>
      </c>
      <c r="D52" s="9">
        <v>403.0</v>
      </c>
      <c r="E52" s="14">
        <f>-3*1.25</f>
        <v>-3.75</v>
      </c>
      <c r="F52" s="9">
        <v>-0.6</v>
      </c>
      <c r="G52" s="9">
        <v>-1.4</v>
      </c>
      <c r="H52" s="9">
        <v>442.75</v>
      </c>
      <c r="I52" s="14">
        <f t="shared" si="3"/>
        <v>415.45</v>
      </c>
      <c r="J52" s="14">
        <f t="shared" si="2"/>
        <v>183940.4875</v>
      </c>
      <c r="L52" s="137" t="s">
        <v>186</v>
      </c>
      <c r="M52" s="33" t="s">
        <v>65</v>
      </c>
      <c r="N52" s="98" t="s">
        <v>66</v>
      </c>
      <c r="P52" s="33" t="s">
        <v>145</v>
      </c>
      <c r="Q52" s="126">
        <v>-218.4</v>
      </c>
      <c r="R52" s="103">
        <v>410.54</v>
      </c>
    </row>
    <row r="53">
      <c r="A53" s="7">
        <v>45972.0</v>
      </c>
      <c r="B53" s="9">
        <v>-48.4</v>
      </c>
      <c r="C53" s="9">
        <v>-7.6</v>
      </c>
      <c r="D53" s="14">
        <f>-191.8*2</f>
        <v>-383.6</v>
      </c>
      <c r="E53" s="9">
        <v>0.0</v>
      </c>
      <c r="F53" s="9">
        <v>24.8</v>
      </c>
      <c r="G53" s="9">
        <v>-2.4</v>
      </c>
      <c r="H53" s="9">
        <v>438.16</v>
      </c>
      <c r="I53" s="14">
        <f t="shared" si="3"/>
        <v>-417.2</v>
      </c>
      <c r="J53" s="14">
        <f t="shared" si="2"/>
        <v>-182800.352</v>
      </c>
      <c r="L53" s="33" t="s">
        <v>145</v>
      </c>
      <c r="M53" s="128">
        <f>I57</f>
        <v>-218.4</v>
      </c>
      <c r="N53" s="100">
        <f>H57</f>
        <v>410.54</v>
      </c>
      <c r="P53" s="36"/>
      <c r="Q53" s="36"/>
      <c r="R53" s="36"/>
    </row>
    <row r="54">
      <c r="A54" s="7">
        <v>45973.0</v>
      </c>
      <c r="B54" s="9">
        <v>105.4</v>
      </c>
      <c r="C54" s="9">
        <v>-5.4</v>
      </c>
      <c r="D54" s="9">
        <v>0.0</v>
      </c>
      <c r="E54" s="9">
        <v>0.0</v>
      </c>
      <c r="F54" s="9">
        <v>0.0</v>
      </c>
      <c r="G54" s="9">
        <v>6.0</v>
      </c>
      <c r="H54" s="9">
        <v>433.16</v>
      </c>
      <c r="I54" s="14">
        <f t="shared" si="3"/>
        <v>106</v>
      </c>
      <c r="J54" s="14">
        <f t="shared" si="2"/>
        <v>45914.96</v>
      </c>
      <c r="L54" s="36"/>
      <c r="M54" s="36"/>
      <c r="N54" s="54"/>
      <c r="P54" s="33" t="s">
        <v>68</v>
      </c>
      <c r="Q54" s="126">
        <v>-205.4</v>
      </c>
      <c r="R54" s="103">
        <v>475.05</v>
      </c>
    </row>
    <row r="55">
      <c r="A55" s="7">
        <v>45974.0</v>
      </c>
      <c r="B55" s="9">
        <v>3.0</v>
      </c>
      <c r="C55" s="9">
        <v>-4.2</v>
      </c>
      <c r="D55" s="14">
        <f>-41.6*2</f>
        <v>-83.2</v>
      </c>
      <c r="E55" s="14">
        <f>-2*1.25</f>
        <v>-2.5</v>
      </c>
      <c r="F55" s="9">
        <v>-3.0</v>
      </c>
      <c r="G55" s="9">
        <v>9.2</v>
      </c>
      <c r="H55" s="9">
        <v>407.61</v>
      </c>
      <c r="I55" s="14">
        <f t="shared" si="3"/>
        <v>-80.7</v>
      </c>
      <c r="J55" s="14">
        <f t="shared" si="2"/>
        <v>-32894.127</v>
      </c>
      <c r="L55" s="33" t="s">
        <v>68</v>
      </c>
      <c r="M55" s="128">
        <f>SUM(I53:I57)</f>
        <v>-205.4</v>
      </c>
      <c r="N55" s="100">
        <f>SUM(J53:J57)/M55</f>
        <v>475.0466504</v>
      </c>
      <c r="P55" s="36"/>
      <c r="Q55" s="36"/>
      <c r="R55" s="36"/>
    </row>
    <row r="56">
      <c r="A56" s="7">
        <v>45975.0</v>
      </c>
      <c r="B56" s="9">
        <v>-28.8</v>
      </c>
      <c r="C56" s="9">
        <v>13.4</v>
      </c>
      <c r="D56" s="14">
        <f>209.8*2</f>
        <v>419.6</v>
      </c>
      <c r="E56" s="9">
        <v>-4.5</v>
      </c>
      <c r="F56" s="9">
        <v>5.2</v>
      </c>
      <c r="G56" s="9">
        <v>0.0</v>
      </c>
      <c r="H56" s="9">
        <v>399.77</v>
      </c>
      <c r="I56" s="14">
        <f t="shared" si="3"/>
        <v>404.9</v>
      </c>
      <c r="J56" s="14">
        <f t="shared" si="2"/>
        <v>161866.873</v>
      </c>
      <c r="L56" s="36"/>
      <c r="M56" s="36"/>
      <c r="N56" s="54"/>
      <c r="P56" s="33" t="s">
        <v>69</v>
      </c>
      <c r="Q56" s="102">
        <v>208.77</v>
      </c>
      <c r="R56" s="103">
        <v>257.29</v>
      </c>
    </row>
    <row r="57">
      <c r="A57" s="7">
        <v>45978.0</v>
      </c>
      <c r="B57" s="9">
        <v>-1.0</v>
      </c>
      <c r="C57" s="9">
        <v>12.8</v>
      </c>
      <c r="D57" s="9">
        <v>-257.4</v>
      </c>
      <c r="E57" s="9">
        <v>9.2</v>
      </c>
      <c r="F57" s="9">
        <v>-5.5</v>
      </c>
      <c r="G57" s="9">
        <v>23.5</v>
      </c>
      <c r="H57" s="9">
        <v>410.54</v>
      </c>
      <c r="I57" s="14">
        <f t="shared" si="3"/>
        <v>-218.4</v>
      </c>
      <c r="J57" s="14">
        <f t="shared" si="2"/>
        <v>-89661.936</v>
      </c>
      <c r="L57" s="33" t="s">
        <v>69</v>
      </c>
      <c r="M57" s="139">
        <f>SUM(I38:I57)</f>
        <v>208.775</v>
      </c>
      <c r="N57" s="100">
        <f>SUM(J38:J57)/M57</f>
        <v>257.29379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9" t="s">
        <v>0</v>
      </c>
      <c r="B1" s="110" t="s">
        <v>187</v>
      </c>
      <c r="C1" s="110" t="s">
        <v>188</v>
      </c>
      <c r="D1" s="110" t="s">
        <v>189</v>
      </c>
      <c r="E1" s="110" t="s">
        <v>190</v>
      </c>
      <c r="F1" s="110" t="s">
        <v>151</v>
      </c>
      <c r="G1" s="110" t="s">
        <v>3</v>
      </c>
    </row>
    <row r="2">
      <c r="A2" s="75">
        <v>45898.0</v>
      </c>
      <c r="B2" s="9">
        <v>0.0</v>
      </c>
      <c r="C2" s="9">
        <v>0.4</v>
      </c>
      <c r="D2" s="9">
        <v>1.8</v>
      </c>
      <c r="E2" s="9">
        <v>0.0</v>
      </c>
      <c r="F2" s="9">
        <v>0.0</v>
      </c>
      <c r="G2" s="9">
        <v>0.0</v>
      </c>
    </row>
    <row r="3">
      <c r="A3" s="7">
        <v>45902.0</v>
      </c>
      <c r="B3" s="9">
        <v>0.0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</row>
    <row r="4">
      <c r="A4" s="7">
        <v>45903.0</v>
      </c>
      <c r="B4" s="9">
        <v>0.0</v>
      </c>
      <c r="C4" s="9">
        <v>0.0</v>
      </c>
      <c r="D4" s="9">
        <v>0.0</v>
      </c>
      <c r="E4" s="9">
        <v>0.0</v>
      </c>
      <c r="F4" s="9">
        <v>0.0</v>
      </c>
      <c r="G4" s="9">
        <v>0.0</v>
      </c>
    </row>
    <row r="5">
      <c r="A5" s="7">
        <v>45904.0</v>
      </c>
      <c r="B5" s="9">
        <v>0.0</v>
      </c>
      <c r="C5" s="9">
        <v>0.0</v>
      </c>
      <c r="D5" s="9">
        <v>0.0</v>
      </c>
      <c r="E5" s="9">
        <v>0.0</v>
      </c>
      <c r="F5" s="9">
        <v>0.0</v>
      </c>
      <c r="G5" s="9">
        <v>0.0</v>
      </c>
    </row>
    <row r="6">
      <c r="A6" s="7">
        <v>45905.0</v>
      </c>
      <c r="B6" s="9">
        <v>-2.2</v>
      </c>
      <c r="C6" s="9">
        <v>0.0</v>
      </c>
      <c r="D6" s="9">
        <v>9.2</v>
      </c>
      <c r="E6" s="9">
        <v>0.0</v>
      </c>
      <c r="F6" s="9">
        <v>0.0</v>
      </c>
      <c r="G6" s="9">
        <v>0.0</v>
      </c>
    </row>
    <row r="7">
      <c r="A7" s="7">
        <v>45908.0</v>
      </c>
      <c r="B7" s="9">
        <v>0.0</v>
      </c>
      <c r="C7" s="9">
        <v>0.0</v>
      </c>
      <c r="D7" s="9">
        <v>0.0</v>
      </c>
      <c r="E7" s="9">
        <v>756.2</v>
      </c>
      <c r="F7" s="9">
        <f t="shared" ref="F7:F57" si="1">SUM(B7:D7)</f>
        <v>0</v>
      </c>
      <c r="G7" s="9">
        <f t="shared" ref="G7:G57" si="2">F7*E7</f>
        <v>0</v>
      </c>
    </row>
    <row r="8">
      <c r="A8" s="7">
        <v>45909.0</v>
      </c>
      <c r="B8" s="9">
        <v>0.0</v>
      </c>
      <c r="C8" s="9">
        <v>0.0</v>
      </c>
      <c r="D8" s="9">
        <v>0.0</v>
      </c>
      <c r="E8" s="9">
        <v>760.22</v>
      </c>
      <c r="F8" s="9">
        <f t="shared" si="1"/>
        <v>0</v>
      </c>
      <c r="G8" s="9">
        <f t="shared" si="2"/>
        <v>0</v>
      </c>
    </row>
    <row r="9">
      <c r="A9" s="7">
        <v>45910.0</v>
      </c>
      <c r="B9" s="9">
        <v>0.0</v>
      </c>
      <c r="C9" s="9">
        <v>0.0</v>
      </c>
      <c r="D9" s="9">
        <v>0.0</v>
      </c>
      <c r="E9" s="9">
        <v>757.94</v>
      </c>
      <c r="F9" s="9">
        <f t="shared" si="1"/>
        <v>0</v>
      </c>
      <c r="G9" s="9">
        <f t="shared" si="2"/>
        <v>0</v>
      </c>
    </row>
    <row r="10">
      <c r="A10" s="7">
        <v>45911.0</v>
      </c>
      <c r="B10" s="9">
        <v>-2.2</v>
      </c>
      <c r="C10" s="9">
        <v>0.0</v>
      </c>
      <c r="D10" s="9">
        <v>-8.2</v>
      </c>
      <c r="E10" s="9">
        <v>752.25</v>
      </c>
      <c r="F10" s="9">
        <f t="shared" si="1"/>
        <v>-10.4</v>
      </c>
      <c r="G10" s="9">
        <f t="shared" si="2"/>
        <v>-7823.4</v>
      </c>
    </row>
    <row r="11">
      <c r="A11" s="7">
        <v>45912.0</v>
      </c>
      <c r="B11" s="9">
        <v>0.0</v>
      </c>
      <c r="C11" s="9">
        <v>0.0</v>
      </c>
      <c r="D11" s="9">
        <v>0.0</v>
      </c>
      <c r="E11" s="9">
        <v>750.9</v>
      </c>
      <c r="F11" s="9">
        <f t="shared" si="1"/>
        <v>0</v>
      </c>
      <c r="G11" s="9">
        <f t="shared" si="2"/>
        <v>0</v>
      </c>
    </row>
    <row r="12">
      <c r="A12" s="7">
        <v>45915.0</v>
      </c>
      <c r="B12" s="9">
        <v>0.0</v>
      </c>
      <c r="C12" s="9">
        <v>0.0</v>
      </c>
      <c r="D12" s="9">
        <v>0.0</v>
      </c>
      <c r="E12" s="9">
        <v>761.54</v>
      </c>
      <c r="F12" s="9">
        <f t="shared" si="1"/>
        <v>0</v>
      </c>
      <c r="G12" s="9">
        <f t="shared" si="2"/>
        <v>0</v>
      </c>
    </row>
    <row r="13">
      <c r="A13" s="7">
        <v>45916.0</v>
      </c>
      <c r="B13" s="9">
        <v>9.4</v>
      </c>
      <c r="C13" s="9">
        <v>0.0</v>
      </c>
      <c r="D13" s="9">
        <v>-4.8</v>
      </c>
      <c r="E13" s="9">
        <v>772.59</v>
      </c>
      <c r="F13" s="9">
        <f t="shared" si="1"/>
        <v>4.6</v>
      </c>
      <c r="G13" s="9">
        <f t="shared" si="2"/>
        <v>3553.914</v>
      </c>
    </row>
    <row r="14">
      <c r="A14" s="7">
        <v>45917.0</v>
      </c>
      <c r="B14" s="9">
        <v>-4.8</v>
      </c>
      <c r="C14" s="9">
        <v>0.0</v>
      </c>
      <c r="D14" s="9">
        <v>0.0</v>
      </c>
      <c r="E14" s="9">
        <v>775.8</v>
      </c>
      <c r="F14" s="9">
        <f t="shared" si="1"/>
        <v>-4.8</v>
      </c>
      <c r="G14" s="9">
        <f t="shared" si="2"/>
        <v>-3723.84</v>
      </c>
    </row>
    <row r="15">
      <c r="A15" s="7">
        <v>45918.0</v>
      </c>
      <c r="B15" s="9">
        <v>-2.4</v>
      </c>
      <c r="C15" s="9">
        <v>0.0</v>
      </c>
      <c r="D15" s="9">
        <v>-4.8</v>
      </c>
      <c r="E15" s="9">
        <v>780.26</v>
      </c>
      <c r="F15" s="9">
        <f t="shared" si="1"/>
        <v>-7.2</v>
      </c>
      <c r="G15" s="9">
        <f t="shared" si="2"/>
        <v>-5617.872</v>
      </c>
    </row>
    <row r="16">
      <c r="A16" s="7">
        <v>45919.0</v>
      </c>
      <c r="B16" s="9">
        <v>0.0</v>
      </c>
      <c r="C16" s="9">
        <v>0.0</v>
      </c>
      <c r="D16" s="9">
        <v>0.0</v>
      </c>
      <c r="E16" s="9">
        <v>780.67</v>
      </c>
      <c r="F16" s="9">
        <f t="shared" si="1"/>
        <v>0</v>
      </c>
      <c r="G16" s="9">
        <f t="shared" si="2"/>
        <v>0</v>
      </c>
    </row>
    <row r="17">
      <c r="A17" s="7">
        <v>45922.0</v>
      </c>
      <c r="B17" s="9">
        <v>0.0</v>
      </c>
      <c r="C17" s="9">
        <v>0.0</v>
      </c>
      <c r="D17" s="9">
        <v>0.0</v>
      </c>
      <c r="E17" s="9">
        <v>774.3</v>
      </c>
      <c r="F17" s="9">
        <f t="shared" si="1"/>
        <v>0</v>
      </c>
      <c r="G17" s="9">
        <f t="shared" si="2"/>
        <v>0</v>
      </c>
    </row>
    <row r="18">
      <c r="A18" s="7">
        <v>45923.0</v>
      </c>
      <c r="B18" s="9">
        <v>-2.4</v>
      </c>
      <c r="C18" s="9">
        <v>0.0</v>
      </c>
      <c r="D18" s="9">
        <v>0.0</v>
      </c>
      <c r="E18" s="9">
        <v>761.58</v>
      </c>
      <c r="F18" s="9">
        <f t="shared" si="1"/>
        <v>-2.4</v>
      </c>
      <c r="G18" s="9">
        <f t="shared" si="2"/>
        <v>-1827.792</v>
      </c>
    </row>
    <row r="19">
      <c r="A19" s="7">
        <v>45924.0</v>
      </c>
      <c r="B19" s="9">
        <v>0.0</v>
      </c>
      <c r="C19" s="9">
        <v>0.0</v>
      </c>
      <c r="D19" s="9">
        <v>0.0</v>
      </c>
      <c r="E19" s="9">
        <v>757.95</v>
      </c>
      <c r="F19" s="9">
        <f t="shared" si="1"/>
        <v>0</v>
      </c>
      <c r="G19" s="9">
        <f t="shared" si="2"/>
        <v>0</v>
      </c>
    </row>
    <row r="20">
      <c r="A20" s="7">
        <v>45925.0</v>
      </c>
      <c r="B20" s="9">
        <v>0.0</v>
      </c>
      <c r="C20" s="9">
        <v>-1.1</v>
      </c>
      <c r="D20" s="9">
        <v>0.0</v>
      </c>
      <c r="E20" s="9">
        <v>750.92</v>
      </c>
      <c r="F20" s="9">
        <f t="shared" si="1"/>
        <v>-1.1</v>
      </c>
      <c r="G20" s="9">
        <f t="shared" si="2"/>
        <v>-826.012</v>
      </c>
    </row>
    <row r="21">
      <c r="A21" s="7">
        <v>45926.0</v>
      </c>
      <c r="B21" s="9">
        <v>4.4</v>
      </c>
      <c r="C21" s="9">
        <v>0.0</v>
      </c>
      <c r="D21" s="9">
        <v>10.8</v>
      </c>
      <c r="E21" s="9">
        <v>745.62</v>
      </c>
      <c r="F21" s="9">
        <f t="shared" si="1"/>
        <v>15.2</v>
      </c>
      <c r="G21" s="9">
        <f t="shared" si="2"/>
        <v>11333.424</v>
      </c>
    </row>
    <row r="22">
      <c r="A22" s="7">
        <v>45929.0</v>
      </c>
      <c r="B22" s="9">
        <v>0.0</v>
      </c>
      <c r="C22" s="9">
        <v>0.0</v>
      </c>
      <c r="D22" s="9">
        <v>0.0</v>
      </c>
      <c r="E22" s="48">
        <v>745.51</v>
      </c>
      <c r="F22" s="9">
        <f t="shared" si="1"/>
        <v>0</v>
      </c>
      <c r="G22" s="9">
        <f t="shared" si="2"/>
        <v>0</v>
      </c>
    </row>
    <row r="23">
      <c r="A23" s="7">
        <v>45930.0</v>
      </c>
      <c r="B23" s="9">
        <v>0.0</v>
      </c>
      <c r="C23" s="9">
        <v>0.0</v>
      </c>
      <c r="D23" s="9">
        <v>12.4</v>
      </c>
      <c r="E23" s="48">
        <v>736.48</v>
      </c>
      <c r="F23" s="9">
        <f t="shared" si="1"/>
        <v>12.4</v>
      </c>
      <c r="G23" s="9">
        <f t="shared" si="2"/>
        <v>9132.352</v>
      </c>
    </row>
    <row r="24">
      <c r="A24" s="7">
        <v>45931.0</v>
      </c>
      <c r="B24" s="9">
        <v>0.0</v>
      </c>
      <c r="C24" s="9">
        <v>0.0</v>
      </c>
      <c r="D24" s="9">
        <v>34.0</v>
      </c>
      <c r="E24" s="48">
        <v>717.72</v>
      </c>
      <c r="F24" s="9">
        <f t="shared" si="1"/>
        <v>34</v>
      </c>
      <c r="G24" s="9">
        <f t="shared" si="2"/>
        <v>24402.48</v>
      </c>
    </row>
    <row r="25">
      <c r="A25" s="7">
        <v>45932.0</v>
      </c>
      <c r="B25" s="9">
        <v>0.0</v>
      </c>
      <c r="C25" s="9">
        <v>0.0</v>
      </c>
      <c r="D25" s="9">
        <v>5.0</v>
      </c>
      <c r="E25" s="48">
        <v>723.89</v>
      </c>
      <c r="F25" s="9">
        <f t="shared" si="1"/>
        <v>5</v>
      </c>
      <c r="G25" s="9">
        <f t="shared" si="2"/>
        <v>3619.45</v>
      </c>
    </row>
    <row r="26">
      <c r="A26" s="7">
        <v>45933.0</v>
      </c>
      <c r="B26" s="9">
        <v>58.4</v>
      </c>
      <c r="C26" s="9">
        <v>1.5</v>
      </c>
      <c r="D26" s="9">
        <v>23.0</v>
      </c>
      <c r="E26" s="48">
        <v>720.34</v>
      </c>
      <c r="F26" s="9">
        <f t="shared" si="1"/>
        <v>82.9</v>
      </c>
      <c r="G26" s="9">
        <f t="shared" si="2"/>
        <v>59716.186</v>
      </c>
    </row>
    <row r="27">
      <c r="A27" s="7">
        <v>45936.0</v>
      </c>
      <c r="B27" s="9">
        <v>0.0</v>
      </c>
      <c r="C27" s="9">
        <v>0.0</v>
      </c>
      <c r="D27" s="9">
        <v>39.0</v>
      </c>
      <c r="E27" s="48">
        <v>707.06</v>
      </c>
      <c r="F27" s="9">
        <f t="shared" si="1"/>
        <v>39</v>
      </c>
      <c r="G27" s="49">
        <f t="shared" si="2"/>
        <v>27575.34</v>
      </c>
    </row>
    <row r="28">
      <c r="A28" s="7">
        <v>45937.0</v>
      </c>
      <c r="B28" s="9">
        <f>95.9*2</f>
        <v>191.8</v>
      </c>
      <c r="C28" s="9">
        <v>0.0</v>
      </c>
      <c r="D28" s="9">
        <v>22.2</v>
      </c>
      <c r="E28" s="48">
        <v>713.76</v>
      </c>
      <c r="F28" s="9">
        <f t="shared" si="1"/>
        <v>214</v>
      </c>
      <c r="G28" s="49">
        <f t="shared" si="2"/>
        <v>152744.64</v>
      </c>
    </row>
    <row r="29">
      <c r="A29" s="7">
        <v>45938.0</v>
      </c>
      <c r="B29" s="9">
        <v>34.0</v>
      </c>
      <c r="C29" s="9">
        <v>-0.8</v>
      </c>
      <c r="D29" s="9">
        <v>10.6</v>
      </c>
      <c r="E29" s="48">
        <v>714.69</v>
      </c>
      <c r="F29" s="9">
        <f t="shared" si="1"/>
        <v>43.8</v>
      </c>
      <c r="G29" s="49">
        <f t="shared" si="2"/>
        <v>31303.422</v>
      </c>
    </row>
    <row r="30">
      <c r="A30" s="7">
        <v>45939.0</v>
      </c>
      <c r="B30" s="9">
        <v>16.2</v>
      </c>
      <c r="C30" s="9">
        <v>0.0</v>
      </c>
      <c r="D30" s="9">
        <v>25.6</v>
      </c>
      <c r="E30" s="48">
        <v>724.43</v>
      </c>
      <c r="F30" s="9">
        <f t="shared" si="1"/>
        <v>41.8</v>
      </c>
      <c r="G30" s="49">
        <f t="shared" si="2"/>
        <v>30281.174</v>
      </c>
    </row>
    <row r="31">
      <c r="A31" s="7">
        <v>45940.0</v>
      </c>
      <c r="B31" s="9">
        <v>21.2</v>
      </c>
      <c r="C31" s="9">
        <v>0.0</v>
      </c>
      <c r="D31" s="9">
        <v>51.8</v>
      </c>
      <c r="E31" s="9">
        <v>719.0</v>
      </c>
      <c r="F31" s="9">
        <f t="shared" si="1"/>
        <v>73</v>
      </c>
      <c r="G31" s="49">
        <f t="shared" si="2"/>
        <v>52487</v>
      </c>
    </row>
    <row r="32">
      <c r="A32" s="7">
        <v>45943.0</v>
      </c>
      <c r="B32" s="14">
        <f>-7.8*2</f>
        <v>-15.6</v>
      </c>
      <c r="C32" s="9">
        <v>0.0</v>
      </c>
      <c r="D32" s="14">
        <f>-20.7*2</f>
        <v>-41.4</v>
      </c>
      <c r="E32" s="9">
        <v>714.07</v>
      </c>
      <c r="F32" s="49">
        <f t="shared" si="1"/>
        <v>-57</v>
      </c>
      <c r="G32" s="49">
        <f t="shared" si="2"/>
        <v>-40701.99</v>
      </c>
      <c r="I32" s="132"/>
      <c r="J32" s="78"/>
      <c r="K32" s="78"/>
    </row>
    <row r="33">
      <c r="A33" s="7">
        <v>45944.0</v>
      </c>
      <c r="B33" s="9">
        <v>0.0</v>
      </c>
      <c r="C33" s="9">
        <v>0.0</v>
      </c>
      <c r="D33" s="9">
        <v>5.0</v>
      </c>
      <c r="E33" s="9">
        <v>707.84</v>
      </c>
      <c r="F33" s="49">
        <f t="shared" si="1"/>
        <v>5</v>
      </c>
      <c r="G33" s="49">
        <f t="shared" si="2"/>
        <v>3539.2</v>
      </c>
      <c r="I33" s="133"/>
      <c r="J33" s="45"/>
      <c r="K33" s="45"/>
      <c r="M33" s="132"/>
      <c r="N33" s="78"/>
      <c r="O33" s="78"/>
    </row>
    <row r="34">
      <c r="A34" s="7">
        <v>45945.0</v>
      </c>
      <c r="B34" s="9">
        <v>0.0</v>
      </c>
      <c r="C34" s="9">
        <v>0.0</v>
      </c>
      <c r="D34" s="9">
        <v>10.4</v>
      </c>
      <c r="E34" s="9">
        <v>717.0</v>
      </c>
      <c r="F34" s="49">
        <f t="shared" si="1"/>
        <v>10.4</v>
      </c>
      <c r="G34" s="49">
        <f t="shared" si="2"/>
        <v>7456.8</v>
      </c>
      <c r="I34" s="134"/>
      <c r="J34" s="18"/>
      <c r="K34" s="18"/>
      <c r="M34" s="78"/>
      <c r="N34" s="115"/>
      <c r="O34" s="150"/>
    </row>
    <row r="35">
      <c r="A35" s="7">
        <v>45946.0</v>
      </c>
      <c r="B35" s="9">
        <v>0.0</v>
      </c>
      <c r="C35" s="9">
        <v>0.0</v>
      </c>
      <c r="D35" s="9">
        <v>-19.0</v>
      </c>
      <c r="E35" s="9">
        <v>713.87</v>
      </c>
      <c r="F35" s="49">
        <f t="shared" si="1"/>
        <v>-19</v>
      </c>
      <c r="G35" s="49">
        <f t="shared" si="2"/>
        <v>-13563.53</v>
      </c>
      <c r="I35" s="133"/>
      <c r="J35" s="45"/>
      <c r="K35" s="86"/>
      <c r="M35" s="145"/>
      <c r="N35" s="81"/>
      <c r="O35" s="81"/>
    </row>
    <row r="36">
      <c r="A36" s="7">
        <v>45947.0</v>
      </c>
      <c r="B36" s="9">
        <v>0.0</v>
      </c>
      <c r="C36" s="9">
        <v>0.0</v>
      </c>
      <c r="D36" s="9">
        <v>-13.0</v>
      </c>
      <c r="E36" s="9">
        <v>713.86</v>
      </c>
      <c r="F36" s="49">
        <f t="shared" si="1"/>
        <v>-13</v>
      </c>
      <c r="G36" s="49">
        <f t="shared" si="2"/>
        <v>-9280.18</v>
      </c>
      <c r="I36" s="134"/>
      <c r="J36" s="18"/>
      <c r="K36" s="86"/>
      <c r="M36" s="78"/>
      <c r="N36" s="115"/>
      <c r="O36" s="83"/>
    </row>
    <row r="37">
      <c r="A37" s="7">
        <v>45950.0</v>
      </c>
      <c r="B37" s="9">
        <v>-6.0</v>
      </c>
      <c r="C37" s="9">
        <v>0.0</v>
      </c>
      <c r="D37" s="9">
        <v>0.0</v>
      </c>
      <c r="E37" s="9">
        <v>728.71</v>
      </c>
      <c r="F37" s="49">
        <f t="shared" si="1"/>
        <v>-6</v>
      </c>
      <c r="G37" s="49">
        <f t="shared" si="2"/>
        <v>-4372.26</v>
      </c>
      <c r="I37" s="133"/>
      <c r="J37" s="45"/>
      <c r="K37" s="86"/>
      <c r="M37" s="145"/>
      <c r="N37" s="81"/>
      <c r="O37" s="81"/>
    </row>
    <row r="38">
      <c r="A38" s="7">
        <v>45951.0</v>
      </c>
      <c r="B38" s="9">
        <v>-8.4</v>
      </c>
      <c r="C38" s="9">
        <v>0.0</v>
      </c>
      <c r="D38" s="9">
        <v>-2.6</v>
      </c>
      <c r="E38" s="9">
        <v>733.51</v>
      </c>
      <c r="F38" s="49">
        <f t="shared" si="1"/>
        <v>-11</v>
      </c>
      <c r="G38" s="49">
        <f t="shared" si="2"/>
        <v>-8068.61</v>
      </c>
      <c r="I38" s="134"/>
      <c r="J38" s="18"/>
      <c r="K38" s="86"/>
      <c r="M38" s="78"/>
      <c r="N38" s="115"/>
      <c r="O38" s="83"/>
    </row>
    <row r="39">
      <c r="A39" s="7">
        <v>45952.0</v>
      </c>
      <c r="B39" s="9">
        <v>0.0</v>
      </c>
      <c r="C39" s="9">
        <v>0.0</v>
      </c>
      <c r="D39" s="14">
        <f>11.6*2</f>
        <v>23.2</v>
      </c>
      <c r="E39" s="9">
        <v>732.68</v>
      </c>
      <c r="F39" s="49">
        <f t="shared" si="1"/>
        <v>23.2</v>
      </c>
      <c r="G39" s="49">
        <f t="shared" si="2"/>
        <v>16998.176</v>
      </c>
      <c r="I39" s="134"/>
      <c r="J39" s="18"/>
      <c r="K39" s="86"/>
    </row>
    <row r="40">
      <c r="A40" s="7">
        <v>45953.0</v>
      </c>
      <c r="B40" s="9">
        <v>14.8</v>
      </c>
      <c r="C40" s="9">
        <v>0.0</v>
      </c>
      <c r="D40" s="9">
        <v>2.6</v>
      </c>
      <c r="E40" s="9">
        <v>736.5</v>
      </c>
      <c r="F40" s="49">
        <f t="shared" si="1"/>
        <v>17.4</v>
      </c>
      <c r="G40" s="49">
        <f t="shared" si="2"/>
        <v>12815.1</v>
      </c>
      <c r="I40" s="134"/>
      <c r="J40" s="18"/>
      <c r="K40" s="86"/>
    </row>
    <row r="41">
      <c r="A41" s="7">
        <v>45954.0</v>
      </c>
      <c r="B41" s="9">
        <v>-16.8</v>
      </c>
      <c r="C41" s="9">
        <v>0.0</v>
      </c>
      <c r="D41" s="9">
        <v>0.0</v>
      </c>
      <c r="E41" s="9">
        <v>736.91</v>
      </c>
      <c r="F41" s="49">
        <f t="shared" si="1"/>
        <v>-16.8</v>
      </c>
      <c r="G41" s="49">
        <f t="shared" si="2"/>
        <v>-12380.088</v>
      </c>
      <c r="I41" s="134"/>
      <c r="J41" s="18"/>
      <c r="K41" s="86"/>
    </row>
    <row r="42">
      <c r="A42" s="7">
        <v>45957.0</v>
      </c>
      <c r="B42" s="9">
        <v>0.0</v>
      </c>
      <c r="C42" s="9">
        <v>0.0</v>
      </c>
      <c r="D42" s="9">
        <v>0.0</v>
      </c>
      <c r="E42" s="9">
        <v>750.09</v>
      </c>
      <c r="F42" s="49">
        <f t="shared" si="1"/>
        <v>0</v>
      </c>
      <c r="G42" s="49">
        <f t="shared" si="2"/>
        <v>0</v>
      </c>
      <c r="I42" s="134"/>
      <c r="J42" s="18"/>
      <c r="K42" s="86"/>
    </row>
    <row r="43">
      <c r="A43" s="7">
        <v>45958.0</v>
      </c>
      <c r="B43" s="9">
        <v>0.0</v>
      </c>
      <c r="C43" s="9">
        <v>0.0</v>
      </c>
      <c r="D43" s="9">
        <v>9.8</v>
      </c>
      <c r="E43" s="9">
        <v>751.79</v>
      </c>
      <c r="F43" s="49">
        <f t="shared" si="1"/>
        <v>9.8</v>
      </c>
      <c r="G43" s="49">
        <f t="shared" si="2"/>
        <v>7367.542</v>
      </c>
      <c r="I43" s="134"/>
      <c r="J43" s="18"/>
      <c r="K43" s="86"/>
    </row>
    <row r="44">
      <c r="A44" s="7">
        <v>45959.0</v>
      </c>
      <c r="B44" s="9">
        <v>0.0</v>
      </c>
      <c r="C44" s="9">
        <v>0.0</v>
      </c>
      <c r="D44" s="9">
        <v>59.4</v>
      </c>
      <c r="E44" s="9">
        <v>751.11</v>
      </c>
      <c r="F44" s="49">
        <f t="shared" si="1"/>
        <v>59.4</v>
      </c>
      <c r="G44" s="49">
        <f t="shared" si="2"/>
        <v>44615.934</v>
      </c>
      <c r="I44" s="134"/>
      <c r="J44" s="18"/>
      <c r="K44" s="86"/>
    </row>
    <row r="45">
      <c r="A45" s="7">
        <v>45960.0</v>
      </c>
      <c r="B45" s="9">
        <v>78.2</v>
      </c>
      <c r="C45" s="9">
        <v>0.0</v>
      </c>
      <c r="D45" s="14">
        <f>158.7*2</f>
        <v>317.4</v>
      </c>
      <c r="E45" s="9">
        <v>665.87</v>
      </c>
      <c r="F45" s="49">
        <f t="shared" si="1"/>
        <v>395.6</v>
      </c>
      <c r="G45" s="49">
        <f t="shared" si="2"/>
        <v>263418.172</v>
      </c>
      <c r="I45" s="134"/>
      <c r="J45" s="18"/>
      <c r="K45" s="86"/>
    </row>
    <row r="46">
      <c r="A46" s="7">
        <v>45961.0</v>
      </c>
      <c r="B46" s="14">
        <f>429.8*2</f>
        <v>859.6</v>
      </c>
      <c r="C46" s="9">
        <v>0.0</v>
      </c>
      <c r="D46" s="9">
        <v>164.8</v>
      </c>
      <c r="E46" s="9">
        <v>656.27</v>
      </c>
      <c r="F46" s="49">
        <f t="shared" si="1"/>
        <v>1024.4</v>
      </c>
      <c r="G46" s="49">
        <f t="shared" si="2"/>
        <v>672282.988</v>
      </c>
      <c r="I46" s="136"/>
      <c r="J46" s="91"/>
      <c r="K46" s="90"/>
    </row>
    <row r="47">
      <c r="A47" s="7">
        <v>45964.0</v>
      </c>
      <c r="B47" s="9">
        <v>170.6</v>
      </c>
      <c r="C47" s="9">
        <v>0.0</v>
      </c>
      <c r="D47" s="9">
        <v>149.2</v>
      </c>
      <c r="E47" s="9">
        <v>644.41</v>
      </c>
      <c r="F47" s="49">
        <f t="shared" si="1"/>
        <v>319.8</v>
      </c>
      <c r="G47" s="49">
        <f t="shared" si="2"/>
        <v>206082.318</v>
      </c>
      <c r="I47" s="91"/>
      <c r="J47" s="121"/>
      <c r="K47" s="93"/>
    </row>
    <row r="48">
      <c r="A48" s="7">
        <v>45965.0</v>
      </c>
      <c r="B48" s="14">
        <f>179.5*2</f>
        <v>359</v>
      </c>
      <c r="C48" s="9">
        <v>0.0</v>
      </c>
      <c r="D48" s="9">
        <v>0.0</v>
      </c>
      <c r="E48" s="9">
        <v>631.69</v>
      </c>
      <c r="F48" s="49">
        <f t="shared" si="1"/>
        <v>359</v>
      </c>
      <c r="G48" s="49">
        <f t="shared" si="2"/>
        <v>226776.71</v>
      </c>
      <c r="I48" s="94"/>
      <c r="J48" s="94"/>
      <c r="K48" s="96"/>
    </row>
    <row r="49">
      <c r="A49" s="7">
        <v>45966.0</v>
      </c>
      <c r="B49" s="14">
        <f>97.7*2</f>
        <v>195.4</v>
      </c>
      <c r="C49" s="9">
        <v>3.8</v>
      </c>
      <c r="D49" s="9">
        <v>11.0</v>
      </c>
      <c r="E49" s="9">
        <v>634.91</v>
      </c>
      <c r="F49" s="49">
        <f t="shared" si="1"/>
        <v>210.2</v>
      </c>
      <c r="G49" s="49">
        <f t="shared" si="2"/>
        <v>133458.082</v>
      </c>
      <c r="I49" s="91"/>
      <c r="J49" s="121"/>
      <c r="K49" s="93"/>
    </row>
    <row r="50">
      <c r="A50" s="7">
        <v>45967.0</v>
      </c>
      <c r="B50" s="9">
        <v>23.2</v>
      </c>
      <c r="C50" s="9">
        <v>0.0</v>
      </c>
      <c r="D50" s="9">
        <v>2.6</v>
      </c>
      <c r="E50" s="9">
        <v>624.31</v>
      </c>
      <c r="F50" s="49">
        <f t="shared" si="1"/>
        <v>25.8</v>
      </c>
      <c r="G50" s="49">
        <f t="shared" si="2"/>
        <v>16107.198</v>
      </c>
      <c r="I50" s="94"/>
      <c r="J50" s="94"/>
      <c r="K50" s="96"/>
    </row>
    <row r="51">
      <c r="A51" s="7">
        <v>45968.0</v>
      </c>
      <c r="B51" s="9">
        <v>14.6</v>
      </c>
      <c r="C51" s="9">
        <v>0.0</v>
      </c>
      <c r="D51" s="9">
        <v>6.0</v>
      </c>
      <c r="E51" s="9">
        <v>615.01</v>
      </c>
      <c r="F51" s="49">
        <f t="shared" si="1"/>
        <v>20.6</v>
      </c>
      <c r="G51" s="49">
        <f t="shared" si="2"/>
        <v>12669.206</v>
      </c>
      <c r="I51" s="136"/>
      <c r="J51" s="91"/>
      <c r="K51" s="90"/>
      <c r="M51" s="137" t="s">
        <v>191</v>
      </c>
      <c r="N51" s="33" t="s">
        <v>65</v>
      </c>
      <c r="O51" s="33" t="s">
        <v>66</v>
      </c>
    </row>
    <row r="52">
      <c r="A52" s="7">
        <v>45971.0</v>
      </c>
      <c r="B52" s="14">
        <f>-14.7*2</f>
        <v>-29.4</v>
      </c>
      <c r="C52" s="9">
        <v>0.0</v>
      </c>
      <c r="D52" s="9">
        <v>6.0</v>
      </c>
      <c r="E52" s="9">
        <v>628.29</v>
      </c>
      <c r="F52" s="49">
        <f t="shared" si="1"/>
        <v>-23.4</v>
      </c>
      <c r="G52" s="49">
        <f t="shared" si="2"/>
        <v>-14701.986</v>
      </c>
      <c r="I52" s="137" t="s">
        <v>191</v>
      </c>
      <c r="J52" s="33" t="s">
        <v>65</v>
      </c>
      <c r="K52" s="98" t="s">
        <v>66</v>
      </c>
      <c r="M52" s="33" t="s">
        <v>145</v>
      </c>
      <c r="N52" s="147">
        <v>0.0</v>
      </c>
      <c r="O52" s="138" t="s">
        <v>178</v>
      </c>
    </row>
    <row r="53">
      <c r="A53" s="7">
        <v>45972.0</v>
      </c>
      <c r="B53" s="9">
        <v>-6.0</v>
      </c>
      <c r="C53" s="9">
        <v>0.0</v>
      </c>
      <c r="D53" s="9">
        <v>0.0</v>
      </c>
      <c r="E53" s="9">
        <v>625.34</v>
      </c>
      <c r="F53" s="49">
        <f t="shared" si="1"/>
        <v>-6</v>
      </c>
      <c r="G53" s="49">
        <f t="shared" si="2"/>
        <v>-3752.04</v>
      </c>
      <c r="I53" s="33" t="s">
        <v>145</v>
      </c>
      <c r="J53" s="128">
        <f>F57</f>
        <v>0</v>
      </c>
      <c r="K53" s="100">
        <f>E57</f>
        <v>603.03</v>
      </c>
      <c r="M53" s="36"/>
      <c r="N53" s="36"/>
      <c r="O53" s="36"/>
    </row>
    <row r="54">
      <c r="A54" s="7">
        <v>45973.0</v>
      </c>
      <c r="B54" s="9">
        <v>3.0</v>
      </c>
      <c r="C54" s="9">
        <v>-0.4</v>
      </c>
      <c r="D54" s="9">
        <v>6.2</v>
      </c>
      <c r="E54" s="9">
        <v>615.26</v>
      </c>
      <c r="F54" s="49">
        <f t="shared" si="1"/>
        <v>8.8</v>
      </c>
      <c r="G54" s="49">
        <f t="shared" si="2"/>
        <v>5414.288</v>
      </c>
      <c r="I54" s="36"/>
      <c r="J54" s="36"/>
      <c r="K54" s="54"/>
      <c r="M54" s="33" t="s">
        <v>68</v>
      </c>
      <c r="N54" s="126">
        <v>-2.8</v>
      </c>
      <c r="O54" s="103">
        <v>580.48</v>
      </c>
    </row>
    <row r="55">
      <c r="A55" s="7">
        <v>45974.0</v>
      </c>
      <c r="B55" s="9">
        <v>1.4</v>
      </c>
      <c r="C55" s="9">
        <v>0.0</v>
      </c>
      <c r="D55" s="9">
        <v>24.8</v>
      </c>
      <c r="E55" s="9">
        <v>610.18</v>
      </c>
      <c r="F55" s="49">
        <f t="shared" si="1"/>
        <v>26.2</v>
      </c>
      <c r="G55" s="49">
        <f t="shared" si="2"/>
        <v>15986.716</v>
      </c>
      <c r="I55" s="33" t="s">
        <v>68</v>
      </c>
      <c r="J55" s="128">
        <f>SUM(F53:F57)</f>
        <v>-2.8</v>
      </c>
      <c r="K55" s="100">
        <f>SUM(G53:G57)/J55</f>
        <v>580.4764286</v>
      </c>
      <c r="M55" s="36"/>
      <c r="N55" s="36"/>
      <c r="O55" s="36"/>
    </row>
    <row r="56">
      <c r="A56" s="7">
        <v>45975.0</v>
      </c>
      <c r="B56" s="14">
        <f>-12.7*2</f>
        <v>-25.4</v>
      </c>
      <c r="C56" s="9">
        <v>0.0</v>
      </c>
      <c r="D56" s="9">
        <v>-6.4</v>
      </c>
      <c r="E56" s="9">
        <v>606.11</v>
      </c>
      <c r="F56" s="49">
        <f t="shared" si="1"/>
        <v>-31.8</v>
      </c>
      <c r="G56" s="49">
        <f t="shared" si="2"/>
        <v>-19274.298</v>
      </c>
      <c r="I56" s="36"/>
      <c r="J56" s="36"/>
      <c r="K56" s="54"/>
      <c r="M56" s="33" t="s">
        <v>69</v>
      </c>
      <c r="N56" s="131">
        <v>2411.2</v>
      </c>
      <c r="O56" s="103">
        <v>653.54</v>
      </c>
    </row>
    <row r="57">
      <c r="A57" s="7">
        <v>45978.0</v>
      </c>
      <c r="B57" s="9">
        <v>0.0</v>
      </c>
      <c r="C57" s="9">
        <v>0.0</v>
      </c>
      <c r="D57" s="9">
        <v>0.0</v>
      </c>
      <c r="E57" s="9">
        <v>603.03</v>
      </c>
      <c r="F57" s="49">
        <f t="shared" si="1"/>
        <v>0</v>
      </c>
      <c r="G57" s="49">
        <f t="shared" si="2"/>
        <v>0</v>
      </c>
      <c r="I57" s="33" t="s">
        <v>69</v>
      </c>
      <c r="J57" s="128">
        <f>SUM(F38:F57)</f>
        <v>2411.2</v>
      </c>
      <c r="K57" s="100">
        <f>SUM(G38:G57)/J57</f>
        <v>653.5399005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9" t="s">
        <v>0</v>
      </c>
      <c r="B1" s="149" t="s">
        <v>192</v>
      </c>
      <c r="C1" s="149" t="s">
        <v>193</v>
      </c>
      <c r="D1" s="149" t="s">
        <v>194</v>
      </c>
      <c r="E1" s="149" t="s">
        <v>195</v>
      </c>
      <c r="F1" s="149" t="s">
        <v>151</v>
      </c>
      <c r="G1" s="149" t="s">
        <v>3</v>
      </c>
    </row>
    <row r="2">
      <c r="A2" s="75">
        <v>45898.0</v>
      </c>
      <c r="B2" s="9">
        <f>-2.76*2</f>
        <v>-5.52</v>
      </c>
      <c r="C2" s="9">
        <v>0.77</v>
      </c>
      <c r="D2" s="9"/>
      <c r="E2" s="9">
        <v>0.0</v>
      </c>
      <c r="F2" s="9">
        <v>0.0</v>
      </c>
      <c r="G2" s="9">
        <v>0.0</v>
      </c>
    </row>
    <row r="3">
      <c r="A3" s="7">
        <v>45902.0</v>
      </c>
      <c r="B3" s="9">
        <v>-8.24</v>
      </c>
      <c r="C3" s="9">
        <v>0.39</v>
      </c>
      <c r="D3" s="9"/>
      <c r="E3" s="9">
        <v>0.0</v>
      </c>
      <c r="F3" s="9">
        <v>0.0</v>
      </c>
      <c r="G3" s="9">
        <v>0.0</v>
      </c>
    </row>
    <row r="4">
      <c r="A4" s="7">
        <v>45903.0</v>
      </c>
      <c r="B4" s="9">
        <v>-28.24</v>
      </c>
      <c r="C4" s="9">
        <v>0.39</v>
      </c>
      <c r="D4" s="9"/>
      <c r="E4" s="9">
        <v>0.0</v>
      </c>
      <c r="F4" s="9">
        <v>0.0</v>
      </c>
      <c r="G4" s="9">
        <v>0.0</v>
      </c>
    </row>
    <row r="5">
      <c r="A5" s="7">
        <v>45904.0</v>
      </c>
      <c r="B5" s="9">
        <v>-20.24</v>
      </c>
      <c r="C5" s="9">
        <v>-0.38</v>
      </c>
      <c r="D5" s="9"/>
      <c r="E5" s="9">
        <v>0.0</v>
      </c>
      <c r="F5" s="9">
        <v>0.0</v>
      </c>
      <c r="G5" s="9">
        <v>0.0</v>
      </c>
    </row>
    <row r="6">
      <c r="A6" s="7">
        <v>45905.0</v>
      </c>
      <c r="B6" s="9">
        <f>-3.65*2</f>
        <v>-7.3</v>
      </c>
      <c r="C6" s="9">
        <v>-2.63</v>
      </c>
      <c r="D6" s="9"/>
      <c r="E6" s="9">
        <v>0.0</v>
      </c>
      <c r="F6" s="9">
        <v>0.0</v>
      </c>
      <c r="G6" s="9">
        <v>0.0</v>
      </c>
    </row>
    <row r="7">
      <c r="A7" s="7">
        <v>45908.0</v>
      </c>
      <c r="B7" s="9">
        <f>-2.19*2</f>
        <v>-4.38</v>
      </c>
      <c r="C7" s="9">
        <v>0.38</v>
      </c>
      <c r="D7" s="9"/>
      <c r="E7" s="9">
        <v>238.42</v>
      </c>
      <c r="F7" s="9">
        <f>SUM(B7:C7)</f>
        <v>-4</v>
      </c>
      <c r="G7" s="9">
        <f t="shared" ref="G7:G57" si="1">E7*F7</f>
        <v>-953.68</v>
      </c>
    </row>
    <row r="8">
      <c r="A8" s="7">
        <v>45909.0</v>
      </c>
      <c r="B8" s="9">
        <v>10.0</v>
      </c>
      <c r="C8" s="9">
        <v>0.38</v>
      </c>
      <c r="D8" s="9"/>
      <c r="E8" s="9">
        <v>235.87</v>
      </c>
      <c r="F8" s="9">
        <f t="shared" ref="F8:F32" si="2">SUM(B8:D8)</f>
        <v>10.38</v>
      </c>
      <c r="G8" s="9">
        <f t="shared" si="1"/>
        <v>2448.3306</v>
      </c>
    </row>
    <row r="9">
      <c r="A9" s="7">
        <v>45910.0</v>
      </c>
      <c r="B9" s="9">
        <v>8.36</v>
      </c>
      <c r="C9" s="9">
        <v>0.0</v>
      </c>
      <c r="D9" s="9"/>
      <c r="E9" s="9">
        <v>229.34</v>
      </c>
      <c r="F9" s="9">
        <f t="shared" si="2"/>
        <v>8.36</v>
      </c>
      <c r="G9" s="9">
        <f t="shared" si="1"/>
        <v>1917.2824</v>
      </c>
    </row>
    <row r="10">
      <c r="A10" s="7">
        <v>45911.0</v>
      </c>
      <c r="B10" s="9">
        <f>9.78*2</f>
        <v>19.56</v>
      </c>
      <c r="C10" s="9">
        <v>-0.79</v>
      </c>
      <c r="D10" s="9"/>
      <c r="E10" s="9">
        <v>228.5</v>
      </c>
      <c r="F10" s="9">
        <f t="shared" si="2"/>
        <v>18.77</v>
      </c>
      <c r="G10" s="9">
        <f t="shared" si="1"/>
        <v>4288.945</v>
      </c>
    </row>
    <row r="11">
      <c r="A11" s="7">
        <v>45912.0</v>
      </c>
      <c r="B11" s="9">
        <f>-2.68*2</f>
        <v>-5.36</v>
      </c>
      <c r="C11" s="9">
        <v>0.39</v>
      </c>
      <c r="D11" s="9">
        <v>4.0</v>
      </c>
      <c r="E11" s="9">
        <v>231.71</v>
      </c>
      <c r="F11" s="9">
        <f t="shared" si="2"/>
        <v>-0.97</v>
      </c>
      <c r="G11" s="9">
        <f t="shared" si="1"/>
        <v>-224.7587</v>
      </c>
    </row>
    <row r="12">
      <c r="A12" s="7">
        <v>45915.0</v>
      </c>
      <c r="B12" s="9">
        <v>22.2</v>
      </c>
      <c r="C12" s="9">
        <v>1.15</v>
      </c>
      <c r="D12" s="9">
        <v>0.0</v>
      </c>
      <c r="E12" s="9">
        <v>236.73</v>
      </c>
      <c r="F12" s="9">
        <f t="shared" si="2"/>
        <v>23.35</v>
      </c>
      <c r="G12" s="9">
        <f t="shared" si="1"/>
        <v>5527.6455</v>
      </c>
    </row>
    <row r="13">
      <c r="A13" s="7">
        <v>45916.0</v>
      </c>
      <c r="B13" s="9">
        <f>22.69*2</f>
        <v>45.38</v>
      </c>
      <c r="C13" s="9">
        <v>-0.38</v>
      </c>
      <c r="D13" s="9">
        <v>-5.2</v>
      </c>
      <c r="E13" s="9">
        <v>238.22</v>
      </c>
      <c r="F13" s="9">
        <f t="shared" si="2"/>
        <v>39.8</v>
      </c>
      <c r="G13" s="9">
        <f t="shared" si="1"/>
        <v>9481.156</v>
      </c>
    </row>
    <row r="14">
      <c r="A14" s="7">
        <v>45917.0</v>
      </c>
      <c r="B14" s="9">
        <f>-18.66*2</f>
        <v>-37.32</v>
      </c>
      <c r="C14" s="9">
        <v>-0.76</v>
      </c>
      <c r="D14" s="9">
        <v>0.0</v>
      </c>
      <c r="E14" s="9">
        <v>238.95</v>
      </c>
      <c r="F14" s="9">
        <f t="shared" si="2"/>
        <v>-38.08</v>
      </c>
      <c r="G14" s="9">
        <f t="shared" si="1"/>
        <v>-9099.216</v>
      </c>
    </row>
    <row r="15">
      <c r="A15" s="7">
        <v>45918.0</v>
      </c>
      <c r="B15" s="9">
        <f>-11.56*2</f>
        <v>-23.12</v>
      </c>
      <c r="C15" s="9">
        <v>0.0</v>
      </c>
      <c r="D15" s="9">
        <v>-2.2</v>
      </c>
      <c r="E15" s="9">
        <v>238.93</v>
      </c>
      <c r="F15" s="9">
        <f t="shared" si="2"/>
        <v>-25.32</v>
      </c>
      <c r="G15" s="9">
        <f t="shared" si="1"/>
        <v>-6049.7076</v>
      </c>
    </row>
    <row r="16">
      <c r="A16" s="7">
        <v>45919.0</v>
      </c>
      <c r="B16" s="9">
        <f>2.86*2</f>
        <v>5.72</v>
      </c>
      <c r="C16" s="9">
        <v>1.89</v>
      </c>
      <c r="D16" s="9">
        <v>1.0</v>
      </c>
      <c r="E16" s="9">
        <v>243.31</v>
      </c>
      <c r="F16" s="9">
        <f t="shared" si="2"/>
        <v>8.61</v>
      </c>
      <c r="G16" s="9">
        <f t="shared" si="1"/>
        <v>2094.8991</v>
      </c>
    </row>
    <row r="17">
      <c r="A17" s="7">
        <v>45922.0</v>
      </c>
      <c r="B17" s="9">
        <v>-6.1</v>
      </c>
      <c r="C17" s="9">
        <v>0.37</v>
      </c>
      <c r="D17" s="9">
        <v>0.0</v>
      </c>
      <c r="E17" s="9">
        <v>252.28</v>
      </c>
      <c r="F17" s="9">
        <f t="shared" si="2"/>
        <v>-5.73</v>
      </c>
      <c r="G17" s="9">
        <f t="shared" si="1"/>
        <v>-1445.5644</v>
      </c>
    </row>
    <row r="18">
      <c r="A18" s="7">
        <v>45923.0</v>
      </c>
      <c r="B18" s="9">
        <v>8.26</v>
      </c>
      <c r="C18" s="9">
        <v>-1.05</v>
      </c>
      <c r="D18" s="9">
        <v>0.0</v>
      </c>
      <c r="E18" s="9">
        <v>255.31</v>
      </c>
      <c r="F18" s="9">
        <f t="shared" si="2"/>
        <v>7.21</v>
      </c>
      <c r="G18" s="9">
        <f t="shared" si="1"/>
        <v>1840.7851</v>
      </c>
    </row>
    <row r="19">
      <c r="A19" s="7">
        <v>45924.0</v>
      </c>
      <c r="B19" s="9">
        <v>0.0</v>
      </c>
      <c r="C19" s="9">
        <v>0.0</v>
      </c>
      <c r="D19" s="9">
        <v>1.2</v>
      </c>
      <c r="E19" s="9">
        <v>253.58</v>
      </c>
      <c r="F19" s="9">
        <f t="shared" si="2"/>
        <v>1.2</v>
      </c>
      <c r="G19" s="9">
        <f t="shared" si="1"/>
        <v>304.296</v>
      </c>
    </row>
    <row r="20">
      <c r="A20" s="7">
        <v>45925.0</v>
      </c>
      <c r="B20" s="9">
        <f>-4.78*2</f>
        <v>-9.56</v>
      </c>
      <c r="C20" s="9">
        <v>-0.35</v>
      </c>
      <c r="D20" s="9">
        <v>-3.0</v>
      </c>
      <c r="E20" s="9">
        <v>254.74</v>
      </c>
      <c r="F20" s="9">
        <f t="shared" si="2"/>
        <v>-12.91</v>
      </c>
      <c r="G20" s="9">
        <f t="shared" si="1"/>
        <v>-3288.6934</v>
      </c>
    </row>
    <row r="21">
      <c r="A21" s="7">
        <v>45926.0</v>
      </c>
      <c r="B21" s="9">
        <v>8.24</v>
      </c>
      <c r="C21" s="9">
        <v>1.04</v>
      </c>
      <c r="D21" s="9">
        <v>0.0</v>
      </c>
      <c r="E21" s="9">
        <v>255.23</v>
      </c>
      <c r="F21" s="9">
        <f t="shared" si="2"/>
        <v>9.28</v>
      </c>
      <c r="G21" s="9">
        <f t="shared" si="1"/>
        <v>2368.5344</v>
      </c>
    </row>
    <row r="22">
      <c r="A22" s="7">
        <v>45929.0</v>
      </c>
      <c r="B22" s="9">
        <v>-6.6</v>
      </c>
      <c r="C22" s="9">
        <v>-0.8</v>
      </c>
      <c r="D22" s="9">
        <v>0.0</v>
      </c>
      <c r="E22" s="9">
        <v>254.35</v>
      </c>
      <c r="F22" s="9">
        <f t="shared" si="2"/>
        <v>-7.4</v>
      </c>
      <c r="G22" s="9">
        <f t="shared" si="1"/>
        <v>-1882.19</v>
      </c>
    </row>
    <row r="23">
      <c r="A23" s="7">
        <v>45930.0</v>
      </c>
      <c r="B23" s="9">
        <v>-3.2</v>
      </c>
      <c r="C23" s="9">
        <v>-0.8</v>
      </c>
      <c r="D23" s="9">
        <v>0.0</v>
      </c>
      <c r="E23" s="9">
        <v>254.63</v>
      </c>
      <c r="F23" s="9">
        <f t="shared" si="2"/>
        <v>-4</v>
      </c>
      <c r="G23" s="9">
        <f t="shared" si="1"/>
        <v>-1018.52</v>
      </c>
    </row>
    <row r="24">
      <c r="A24" s="7">
        <v>45931.0</v>
      </c>
      <c r="B24" s="9">
        <v>-4.8</v>
      </c>
      <c r="C24" s="9">
        <v>-0.8</v>
      </c>
      <c r="D24" s="9">
        <v>0.0</v>
      </c>
      <c r="E24" s="9">
        <v>256.05</v>
      </c>
      <c r="F24" s="9">
        <f t="shared" si="2"/>
        <v>-5.6</v>
      </c>
      <c r="G24" s="9">
        <f t="shared" si="1"/>
        <v>-1433.88</v>
      </c>
    </row>
    <row r="25">
      <c r="A25" s="7">
        <v>45932.0</v>
      </c>
      <c r="B25" s="9">
        <v>-6.6</v>
      </c>
      <c r="C25" s="9">
        <v>0.0</v>
      </c>
      <c r="D25" s="9">
        <v>0.0</v>
      </c>
      <c r="E25" s="9">
        <v>256.51</v>
      </c>
      <c r="F25" s="9">
        <f t="shared" si="2"/>
        <v>-6.6</v>
      </c>
      <c r="G25" s="9">
        <f t="shared" si="1"/>
        <v>-1692.966</v>
      </c>
    </row>
    <row r="26">
      <c r="A26" s="7">
        <v>45933.0</v>
      </c>
      <c r="B26" s="9">
        <v>-3.4</v>
      </c>
      <c r="C26" s="9">
        <v>2.0</v>
      </c>
      <c r="D26" s="9">
        <v>-4.2</v>
      </c>
      <c r="E26" s="9">
        <v>256.47</v>
      </c>
      <c r="F26" s="9">
        <f t="shared" si="2"/>
        <v>-5.6</v>
      </c>
      <c r="G26" s="9">
        <f t="shared" si="1"/>
        <v>-1436.232</v>
      </c>
    </row>
    <row r="27">
      <c r="A27" s="7">
        <v>45936.0</v>
      </c>
      <c r="B27" s="9">
        <v>-18.2</v>
      </c>
      <c r="C27" s="9">
        <v>-0.4</v>
      </c>
      <c r="D27" s="9">
        <v>0.0</v>
      </c>
      <c r="E27" s="9">
        <v>257.2</v>
      </c>
      <c r="F27" s="9">
        <f t="shared" si="2"/>
        <v>-18.6</v>
      </c>
      <c r="G27" s="14">
        <f t="shared" si="1"/>
        <v>-4783.92</v>
      </c>
    </row>
    <row r="28">
      <c r="A28" s="7">
        <v>45937.0</v>
      </c>
      <c r="B28" s="9">
        <v>-5.0</v>
      </c>
      <c r="C28" s="9">
        <v>0.4</v>
      </c>
      <c r="D28" s="9">
        <v>0.0</v>
      </c>
      <c r="E28" s="9">
        <v>256.53</v>
      </c>
      <c r="F28" s="9">
        <f t="shared" si="2"/>
        <v>-4.6</v>
      </c>
      <c r="G28" s="14">
        <f t="shared" si="1"/>
        <v>-1180.038</v>
      </c>
    </row>
    <row r="29">
      <c r="A29" s="7">
        <v>45938.0</v>
      </c>
      <c r="B29" s="9">
        <v>-3.2</v>
      </c>
      <c r="C29" s="9">
        <v>-0.4</v>
      </c>
      <c r="D29" s="9">
        <v>0.0</v>
      </c>
      <c r="E29" s="9">
        <v>257.3</v>
      </c>
      <c r="F29" s="9">
        <f t="shared" si="2"/>
        <v>-3.6</v>
      </c>
      <c r="G29" s="14">
        <f t="shared" si="1"/>
        <v>-926.28</v>
      </c>
    </row>
    <row r="30">
      <c r="A30" s="7">
        <v>45939.0</v>
      </c>
      <c r="B30" s="9">
        <v>-16.6</v>
      </c>
      <c r="C30" s="9">
        <v>0.0</v>
      </c>
      <c r="D30" s="9">
        <v>0.0</v>
      </c>
      <c r="E30" s="9">
        <v>255.75</v>
      </c>
      <c r="F30" s="9">
        <f t="shared" si="2"/>
        <v>-16.6</v>
      </c>
      <c r="G30" s="14">
        <f t="shared" si="1"/>
        <v>-4245.45</v>
      </c>
    </row>
    <row r="31">
      <c r="A31" s="7">
        <v>45940.0</v>
      </c>
      <c r="B31" s="9">
        <v>-8.0</v>
      </c>
      <c r="C31" s="9">
        <v>0.0</v>
      </c>
      <c r="D31" s="9">
        <v>0.0</v>
      </c>
      <c r="E31" s="9">
        <v>250.15</v>
      </c>
      <c r="F31" s="9">
        <f t="shared" si="2"/>
        <v>-8</v>
      </c>
      <c r="G31" s="14">
        <f t="shared" si="1"/>
        <v>-2001.2</v>
      </c>
    </row>
    <row r="32">
      <c r="A32" s="7">
        <v>45943.0</v>
      </c>
      <c r="B32" s="9">
        <v>-16.4</v>
      </c>
      <c r="C32" s="9">
        <v>0.7</v>
      </c>
      <c r="D32" s="9">
        <v>-5.0</v>
      </c>
      <c r="E32" s="9">
        <v>248.07</v>
      </c>
      <c r="F32" s="14">
        <f t="shared" si="2"/>
        <v>-20.7</v>
      </c>
      <c r="G32" s="14">
        <f t="shared" si="1"/>
        <v>-5135.049</v>
      </c>
      <c r="I32" s="151"/>
      <c r="J32" s="20"/>
      <c r="K32" s="20"/>
    </row>
    <row r="33">
      <c r="A33" s="7">
        <v>45944.0</v>
      </c>
      <c r="B33" s="9">
        <v>-7.6</v>
      </c>
      <c r="C33" s="9">
        <v>-0.4</v>
      </c>
      <c r="D33" s="9">
        <v>0.0</v>
      </c>
      <c r="E33" s="9">
        <v>247.1</v>
      </c>
      <c r="F33" s="14">
        <f t="shared" ref="F33:F35" si="3">SUM(B33:C33)</f>
        <v>-8</v>
      </c>
      <c r="G33" s="14">
        <f t="shared" si="1"/>
        <v>-1976.8</v>
      </c>
      <c r="I33" s="133"/>
      <c r="J33" s="45"/>
      <c r="K33" s="45"/>
      <c r="M33" s="132"/>
      <c r="N33" s="78"/>
      <c r="O33" s="78"/>
    </row>
    <row r="34">
      <c r="A34" s="7">
        <v>45945.0</v>
      </c>
      <c r="B34" s="9">
        <v>-9.2</v>
      </c>
      <c r="C34" s="9">
        <v>0.0</v>
      </c>
      <c r="D34" s="9">
        <v>-4.0</v>
      </c>
      <c r="E34" s="9">
        <v>249.54</v>
      </c>
      <c r="F34" s="14">
        <f t="shared" si="3"/>
        <v>-9.2</v>
      </c>
      <c r="G34" s="14">
        <f t="shared" si="1"/>
        <v>-2295.768</v>
      </c>
      <c r="I34" s="134"/>
      <c r="J34" s="18"/>
      <c r="K34" s="18"/>
      <c r="M34" s="78"/>
      <c r="N34" s="152"/>
      <c r="O34" s="150"/>
    </row>
    <row r="35">
      <c r="A35" s="7">
        <v>45946.0</v>
      </c>
      <c r="B35" s="9">
        <v>32.4</v>
      </c>
      <c r="C35" s="9">
        <v>0.4</v>
      </c>
      <c r="D35" s="9">
        <v>-1.8</v>
      </c>
      <c r="E35" s="9">
        <v>247.21</v>
      </c>
      <c r="F35" s="14">
        <f t="shared" si="3"/>
        <v>32.8</v>
      </c>
      <c r="G35" s="14">
        <f t="shared" si="1"/>
        <v>8108.488</v>
      </c>
      <c r="I35" s="133"/>
      <c r="J35" s="45"/>
      <c r="K35" s="86"/>
      <c r="M35" s="145"/>
      <c r="N35" s="81"/>
      <c r="O35" s="81"/>
    </row>
    <row r="36">
      <c r="A36" s="7">
        <v>45947.0</v>
      </c>
      <c r="B36" s="9">
        <v>-4.6</v>
      </c>
      <c r="C36" s="9">
        <v>0.0</v>
      </c>
      <c r="D36" s="9">
        <v>0.0</v>
      </c>
      <c r="E36" s="9">
        <v>250.98</v>
      </c>
      <c r="F36" s="14">
        <f t="shared" ref="F36:F57" si="4">SUM(B36:D36)</f>
        <v>-4.6</v>
      </c>
      <c r="G36" s="14">
        <f t="shared" si="1"/>
        <v>-1154.508</v>
      </c>
      <c r="I36" s="18"/>
      <c r="J36" s="121"/>
      <c r="K36" s="153"/>
      <c r="M36" s="78"/>
      <c r="N36" s="115"/>
      <c r="O36" s="83"/>
    </row>
    <row r="37">
      <c r="A37" s="7">
        <v>45950.0</v>
      </c>
      <c r="B37" s="9">
        <v>0.0</v>
      </c>
      <c r="C37" s="9">
        <v>0.0</v>
      </c>
      <c r="D37" s="9">
        <v>0.0</v>
      </c>
      <c r="E37" s="9">
        <v>260.75</v>
      </c>
      <c r="F37" s="14">
        <f t="shared" si="4"/>
        <v>0</v>
      </c>
      <c r="G37" s="14">
        <f t="shared" si="1"/>
        <v>0</v>
      </c>
      <c r="I37" s="133"/>
      <c r="J37" s="45"/>
      <c r="K37" s="86"/>
      <c r="M37" s="145"/>
      <c r="N37" s="81"/>
      <c r="O37" s="81"/>
    </row>
    <row r="38">
      <c r="A38" s="7">
        <v>45951.0</v>
      </c>
      <c r="B38" s="9">
        <v>0.0</v>
      </c>
      <c r="C38" s="9">
        <v>0.0</v>
      </c>
      <c r="D38" s="9">
        <v>0.0</v>
      </c>
      <c r="E38" s="9">
        <v>263.3</v>
      </c>
      <c r="F38" s="14">
        <f t="shared" si="4"/>
        <v>0</v>
      </c>
      <c r="G38" s="14">
        <f t="shared" si="1"/>
        <v>0</v>
      </c>
      <c r="I38" s="134"/>
      <c r="J38" s="18"/>
      <c r="K38" s="86"/>
      <c r="M38" s="78"/>
      <c r="N38" s="150"/>
      <c r="O38" s="80"/>
    </row>
    <row r="39">
      <c r="A39" s="7">
        <v>45952.0</v>
      </c>
      <c r="B39" s="9">
        <v>0.0</v>
      </c>
      <c r="C39" s="9">
        <v>0.0</v>
      </c>
      <c r="D39" s="9">
        <v>-2.0</v>
      </c>
      <c r="E39" s="9">
        <v>258.91</v>
      </c>
      <c r="F39" s="14">
        <f t="shared" si="4"/>
        <v>-2</v>
      </c>
      <c r="G39" s="14">
        <f t="shared" si="1"/>
        <v>-517.82</v>
      </c>
      <c r="I39" s="134"/>
      <c r="J39" s="18"/>
      <c r="K39" s="86"/>
    </row>
    <row r="40">
      <c r="A40" s="7">
        <v>45953.0</v>
      </c>
      <c r="B40" s="9">
        <v>-26.4</v>
      </c>
      <c r="C40" s="9">
        <v>0.0</v>
      </c>
      <c r="D40" s="9">
        <v>0.0</v>
      </c>
      <c r="E40" s="9">
        <v>259.4</v>
      </c>
      <c r="F40" s="14">
        <f t="shared" si="4"/>
        <v>-26.4</v>
      </c>
      <c r="G40" s="14">
        <f t="shared" si="1"/>
        <v>-6848.16</v>
      </c>
      <c r="I40" s="134"/>
      <c r="J40" s="18"/>
      <c r="K40" s="86"/>
    </row>
    <row r="41">
      <c r="A41" s="7">
        <v>45954.0</v>
      </c>
      <c r="B41" s="9">
        <v>0.0</v>
      </c>
      <c r="C41" s="9">
        <v>0.0</v>
      </c>
      <c r="D41" s="9">
        <v>0.0</v>
      </c>
      <c r="E41" s="9">
        <v>262.04</v>
      </c>
      <c r="F41" s="14">
        <f t="shared" si="4"/>
        <v>0</v>
      </c>
      <c r="G41" s="14">
        <f t="shared" si="1"/>
        <v>0</v>
      </c>
      <c r="I41" s="134"/>
      <c r="J41" s="18"/>
      <c r="K41" s="86"/>
    </row>
    <row r="42">
      <c r="A42" s="7">
        <v>45957.0</v>
      </c>
      <c r="B42" s="9">
        <v>0.0</v>
      </c>
      <c r="C42" s="9">
        <v>0.0</v>
      </c>
      <c r="D42" s="9">
        <v>0.0</v>
      </c>
      <c r="E42" s="9">
        <v>267.5</v>
      </c>
      <c r="F42" s="14">
        <f t="shared" si="4"/>
        <v>0</v>
      </c>
      <c r="G42" s="14">
        <f t="shared" si="1"/>
        <v>0</v>
      </c>
      <c r="I42" s="134"/>
      <c r="J42" s="18"/>
      <c r="K42" s="86"/>
    </row>
    <row r="43">
      <c r="A43" s="7">
        <v>45958.0</v>
      </c>
      <c r="B43" s="9">
        <v>7.2</v>
      </c>
      <c r="C43" s="9">
        <v>0.0</v>
      </c>
      <c r="D43" s="9">
        <v>0.0</v>
      </c>
      <c r="E43" s="9">
        <v>269.01</v>
      </c>
      <c r="F43" s="14">
        <f t="shared" si="4"/>
        <v>7.2</v>
      </c>
      <c r="G43" s="14">
        <f t="shared" si="1"/>
        <v>1936.872</v>
      </c>
      <c r="I43" s="134"/>
      <c r="J43" s="18"/>
      <c r="K43" s="86"/>
    </row>
    <row r="44">
      <c r="A44" s="7">
        <v>45959.0</v>
      </c>
      <c r="B44" s="9">
        <v>-1.8</v>
      </c>
      <c r="C44" s="9">
        <v>-0.3</v>
      </c>
      <c r="D44" s="9">
        <v>2.0</v>
      </c>
      <c r="E44" s="9">
        <v>269.41</v>
      </c>
      <c r="F44" s="14">
        <f t="shared" si="4"/>
        <v>-0.1</v>
      </c>
      <c r="G44" s="14">
        <f t="shared" si="1"/>
        <v>-26.941</v>
      </c>
      <c r="I44" s="134"/>
      <c r="J44" s="18"/>
      <c r="K44" s="86"/>
    </row>
    <row r="45">
      <c r="A45" s="7">
        <v>45960.0</v>
      </c>
      <c r="B45" s="9">
        <v>0.0</v>
      </c>
      <c r="C45" s="9">
        <v>0.0</v>
      </c>
      <c r="D45" s="9">
        <v>0.0</v>
      </c>
      <c r="E45" s="9">
        <v>271.34</v>
      </c>
      <c r="F45" s="14">
        <f t="shared" si="4"/>
        <v>0</v>
      </c>
      <c r="G45" s="14">
        <f t="shared" si="1"/>
        <v>0</v>
      </c>
      <c r="I45" s="134"/>
      <c r="J45" s="18"/>
      <c r="K45" s="86"/>
    </row>
    <row r="46">
      <c r="A46" s="7">
        <v>45961.0</v>
      </c>
      <c r="B46" s="9">
        <v>1.8</v>
      </c>
      <c r="C46" s="9">
        <v>-1.0</v>
      </c>
      <c r="D46" s="9">
        <v>-0.6</v>
      </c>
      <c r="E46" s="9">
        <v>272.28</v>
      </c>
      <c r="F46" s="14">
        <f t="shared" si="4"/>
        <v>0.2</v>
      </c>
      <c r="G46" s="14">
        <f t="shared" si="1"/>
        <v>54.456</v>
      </c>
      <c r="I46" s="136"/>
      <c r="J46" s="91"/>
      <c r="K46" s="90"/>
    </row>
    <row r="47">
      <c r="A47" s="7">
        <v>45964.0</v>
      </c>
      <c r="B47" s="9">
        <v>-9.0</v>
      </c>
      <c r="C47" s="9">
        <v>-3.3</v>
      </c>
      <c r="D47" s="9">
        <v>0.0</v>
      </c>
      <c r="E47" s="9">
        <v>268.72</v>
      </c>
      <c r="F47" s="14">
        <f t="shared" si="4"/>
        <v>-12.3</v>
      </c>
      <c r="G47" s="14">
        <f t="shared" si="1"/>
        <v>-3305.256</v>
      </c>
      <c r="I47" s="91"/>
      <c r="J47" s="121"/>
      <c r="K47" s="93"/>
    </row>
    <row r="48">
      <c r="A48" s="7">
        <v>45965.0</v>
      </c>
      <c r="B48" s="9">
        <v>0.0</v>
      </c>
      <c r="C48" s="9">
        <v>0.0</v>
      </c>
      <c r="D48" s="9">
        <v>0.0</v>
      </c>
      <c r="E48" s="9">
        <v>269.71</v>
      </c>
      <c r="F48" s="14">
        <f t="shared" si="4"/>
        <v>0</v>
      </c>
      <c r="G48" s="14">
        <f t="shared" si="1"/>
        <v>0</v>
      </c>
      <c r="I48" s="94"/>
      <c r="J48" s="94"/>
      <c r="K48" s="96"/>
    </row>
    <row r="49">
      <c r="A49" s="7">
        <v>45966.0</v>
      </c>
      <c r="B49" s="9">
        <v>-16.2</v>
      </c>
      <c r="C49" s="9">
        <v>0.0</v>
      </c>
      <c r="D49" s="9">
        <v>0.0</v>
      </c>
      <c r="E49" s="9">
        <v>269.59</v>
      </c>
      <c r="F49" s="14">
        <f t="shared" si="4"/>
        <v>-16.2</v>
      </c>
      <c r="G49" s="14">
        <f t="shared" si="1"/>
        <v>-4367.358</v>
      </c>
      <c r="I49" s="91"/>
      <c r="J49" s="121"/>
      <c r="K49" s="93"/>
    </row>
    <row r="50">
      <c r="A50" s="7">
        <v>45967.0</v>
      </c>
      <c r="B50" s="9">
        <v>-14.4</v>
      </c>
      <c r="C50" s="9">
        <v>-1.3</v>
      </c>
      <c r="D50" s="9">
        <v>0.0</v>
      </c>
      <c r="E50" s="9">
        <v>270.35</v>
      </c>
      <c r="F50" s="14">
        <f t="shared" si="4"/>
        <v>-15.7</v>
      </c>
      <c r="G50" s="14">
        <f t="shared" si="1"/>
        <v>-4244.495</v>
      </c>
      <c r="I50" s="94"/>
      <c r="J50" s="94"/>
      <c r="K50" s="96"/>
    </row>
    <row r="51">
      <c r="A51" s="7">
        <v>45968.0</v>
      </c>
      <c r="B51" s="9">
        <v>-12.6</v>
      </c>
      <c r="C51" s="9">
        <v>1.0</v>
      </c>
      <c r="D51" s="9">
        <v>0.0</v>
      </c>
      <c r="E51" s="9">
        <v>269.18</v>
      </c>
      <c r="F51" s="14">
        <f t="shared" si="4"/>
        <v>-11.6</v>
      </c>
      <c r="G51" s="14">
        <f t="shared" si="1"/>
        <v>-3122.488</v>
      </c>
      <c r="I51" s="136"/>
      <c r="J51" s="91"/>
      <c r="K51" s="90"/>
      <c r="M51" s="137" t="s">
        <v>196</v>
      </c>
      <c r="N51" s="33" t="s">
        <v>65</v>
      </c>
      <c r="O51" s="33" t="s">
        <v>66</v>
      </c>
    </row>
    <row r="52">
      <c r="A52" s="7">
        <v>45971.0</v>
      </c>
      <c r="B52" s="9">
        <v>-21.4</v>
      </c>
      <c r="C52" s="9">
        <v>-1.7</v>
      </c>
      <c r="D52" s="9">
        <v>-6.6</v>
      </c>
      <c r="E52" s="9">
        <v>270.21</v>
      </c>
      <c r="F52" s="14">
        <f t="shared" si="4"/>
        <v>-29.7</v>
      </c>
      <c r="G52" s="14">
        <f t="shared" si="1"/>
        <v>-8025.237</v>
      </c>
      <c r="I52" s="137" t="s">
        <v>196</v>
      </c>
      <c r="J52" s="33" t="s">
        <v>65</v>
      </c>
      <c r="K52" s="98" t="s">
        <v>66</v>
      </c>
      <c r="M52" s="33" t="s">
        <v>145</v>
      </c>
      <c r="N52" s="126">
        <v>-16.6</v>
      </c>
      <c r="O52" s="138">
        <v>267.89</v>
      </c>
    </row>
    <row r="53">
      <c r="A53" s="7">
        <v>45972.0</v>
      </c>
      <c r="B53" s="9">
        <v>-5.4</v>
      </c>
      <c r="C53" s="9">
        <v>2.7</v>
      </c>
      <c r="D53" s="9">
        <v>2.0</v>
      </c>
      <c r="E53" s="9">
        <v>273.65</v>
      </c>
      <c r="F53" s="14">
        <f t="shared" si="4"/>
        <v>-0.7</v>
      </c>
      <c r="G53" s="14">
        <f t="shared" si="1"/>
        <v>-191.555</v>
      </c>
      <c r="I53" s="33" t="s">
        <v>145</v>
      </c>
      <c r="J53" s="139">
        <f>F57</f>
        <v>-16.6</v>
      </c>
      <c r="K53" s="100">
        <f>E57</f>
        <v>267.89</v>
      </c>
      <c r="M53" s="36"/>
      <c r="N53" s="36"/>
      <c r="O53" s="36"/>
    </row>
    <row r="54">
      <c r="A54" s="7">
        <v>45973.0</v>
      </c>
      <c r="B54" s="9">
        <v>0.0</v>
      </c>
      <c r="C54" s="9">
        <v>-1.3</v>
      </c>
      <c r="D54" s="9">
        <v>0.0</v>
      </c>
      <c r="E54" s="9">
        <v>273.63</v>
      </c>
      <c r="F54" s="14">
        <f t="shared" si="4"/>
        <v>-1.3</v>
      </c>
      <c r="G54" s="14">
        <f t="shared" si="1"/>
        <v>-355.719</v>
      </c>
      <c r="I54" s="36"/>
      <c r="J54" s="36"/>
      <c r="K54" s="54"/>
      <c r="M54" s="33" t="s">
        <v>68</v>
      </c>
      <c r="N54" s="131">
        <v>3.6</v>
      </c>
      <c r="O54" s="103">
        <v>276.85</v>
      </c>
    </row>
    <row r="55">
      <c r="A55" s="7">
        <v>45974.0</v>
      </c>
      <c r="B55" s="9">
        <v>51.6</v>
      </c>
      <c r="C55" s="9">
        <v>2.6</v>
      </c>
      <c r="D55" s="9">
        <v>0.0</v>
      </c>
      <c r="E55" s="9">
        <v>273.91</v>
      </c>
      <c r="F55" s="14">
        <f t="shared" si="4"/>
        <v>54.2</v>
      </c>
      <c r="G55" s="14">
        <f t="shared" si="1"/>
        <v>14845.922</v>
      </c>
      <c r="I55" s="33" t="s">
        <v>68</v>
      </c>
      <c r="J55" s="139">
        <f>SUM(F53:F57)</f>
        <v>34.6</v>
      </c>
      <c r="K55" s="100">
        <f>SUM(G53:G57)/J55</f>
        <v>276.8501156</v>
      </c>
      <c r="M55" s="36"/>
      <c r="N55" s="19"/>
      <c r="O55" s="36"/>
    </row>
    <row r="56">
      <c r="A56" s="7">
        <v>45975.0</v>
      </c>
      <c r="B56" s="9">
        <v>0.0</v>
      </c>
      <c r="C56" s="9">
        <v>-1.0</v>
      </c>
      <c r="D56" s="9">
        <v>0.0</v>
      </c>
      <c r="E56" s="9">
        <v>272.66</v>
      </c>
      <c r="F56" s="14">
        <f t="shared" si="4"/>
        <v>-1</v>
      </c>
      <c r="G56" s="14">
        <f t="shared" si="1"/>
        <v>-272.66</v>
      </c>
      <c r="I56" s="36"/>
      <c r="J56" s="19"/>
      <c r="K56" s="54"/>
      <c r="M56" s="33" t="s">
        <v>69</v>
      </c>
      <c r="N56" s="126">
        <v>-72.0</v>
      </c>
      <c r="O56" s="103">
        <v>262.33</v>
      </c>
    </row>
    <row r="57">
      <c r="A57" s="7">
        <v>45978.0</v>
      </c>
      <c r="B57" s="9">
        <v>-17.6</v>
      </c>
      <c r="C57" s="9">
        <v>1.0</v>
      </c>
      <c r="D57" s="9">
        <v>0.0</v>
      </c>
      <c r="E57" s="9">
        <v>267.89</v>
      </c>
      <c r="F57" s="14">
        <f t="shared" si="4"/>
        <v>-16.6</v>
      </c>
      <c r="G57" s="14">
        <f t="shared" si="1"/>
        <v>-4446.974</v>
      </c>
      <c r="I57" s="33" t="s">
        <v>69</v>
      </c>
      <c r="J57" s="139">
        <f>SUM(F38:F57)</f>
        <v>-72</v>
      </c>
      <c r="K57" s="100">
        <f>SUM(G38:G57)/J57</f>
        <v>262.3251806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9" t="s">
        <v>0</v>
      </c>
      <c r="B1" s="110" t="s">
        <v>197</v>
      </c>
      <c r="C1" s="110" t="s">
        <v>198</v>
      </c>
      <c r="D1" s="110" t="s">
        <v>199</v>
      </c>
      <c r="E1" s="110" t="s">
        <v>200</v>
      </c>
      <c r="F1" s="110" t="s">
        <v>151</v>
      </c>
      <c r="G1" s="110" t="s">
        <v>3</v>
      </c>
    </row>
    <row r="2">
      <c r="A2" s="75">
        <v>45898.0</v>
      </c>
      <c r="B2" s="9">
        <v>0.0</v>
      </c>
      <c r="C2" s="9">
        <v>7.799999999999999</v>
      </c>
      <c r="D2" s="9">
        <v>0.0</v>
      </c>
      <c r="E2" s="9">
        <v>0.0</v>
      </c>
      <c r="F2" s="9">
        <v>0.0</v>
      </c>
      <c r="G2" s="9">
        <v>0.0</v>
      </c>
    </row>
    <row r="3">
      <c r="A3" s="7">
        <v>45902.0</v>
      </c>
      <c r="B3" s="9">
        <v>-11.0</v>
      </c>
      <c r="C3" s="9">
        <v>0.0</v>
      </c>
      <c r="D3" s="9">
        <v>1.4</v>
      </c>
      <c r="E3" s="9">
        <v>0.0</v>
      </c>
      <c r="F3" s="9">
        <v>0.0</v>
      </c>
      <c r="G3" s="9">
        <v>0.0</v>
      </c>
    </row>
    <row r="4">
      <c r="A4" s="7">
        <v>45903.0</v>
      </c>
      <c r="B4" s="9">
        <v>1.8</v>
      </c>
      <c r="C4" s="9">
        <v>-7.599999999999999</v>
      </c>
      <c r="D4" s="9">
        <v>0.0</v>
      </c>
      <c r="E4" s="9">
        <v>0.0</v>
      </c>
      <c r="F4" s="9">
        <v>0.0</v>
      </c>
      <c r="G4" s="9">
        <v>0.0</v>
      </c>
    </row>
    <row r="5">
      <c r="A5" s="7">
        <v>45904.0</v>
      </c>
      <c r="B5" s="9">
        <v>0.0</v>
      </c>
      <c r="C5" s="9">
        <v>0.0</v>
      </c>
      <c r="D5" s="9">
        <v>0.0</v>
      </c>
      <c r="E5" s="9">
        <v>0.0</v>
      </c>
      <c r="F5" s="9">
        <v>0.0</v>
      </c>
      <c r="G5" s="9">
        <v>0.0</v>
      </c>
    </row>
    <row r="6">
      <c r="A6" s="7">
        <v>45905.0</v>
      </c>
      <c r="B6" s="9">
        <v>1.8</v>
      </c>
      <c r="C6" s="9">
        <v>0.0</v>
      </c>
      <c r="D6" s="9">
        <v>0.0</v>
      </c>
      <c r="E6" s="9">
        <v>0.0</v>
      </c>
      <c r="F6" s="9">
        <v>0.0</v>
      </c>
      <c r="G6" s="9">
        <v>0.0</v>
      </c>
    </row>
    <row r="7">
      <c r="A7" s="7">
        <v>45908.0</v>
      </c>
      <c r="B7" s="9">
        <v>0.0</v>
      </c>
      <c r="C7" s="9">
        <v>0.0</v>
      </c>
      <c r="D7" s="9">
        <v>0.0</v>
      </c>
      <c r="E7" s="9">
        <v>498.13</v>
      </c>
      <c r="F7" s="9">
        <f t="shared" ref="F7:F57" si="1">SUM(B7:D7)</f>
        <v>0</v>
      </c>
      <c r="G7" s="9">
        <f t="shared" ref="G7:G28" si="2">F7*E7</f>
        <v>0</v>
      </c>
    </row>
    <row r="8">
      <c r="A8" s="7">
        <v>45909.0</v>
      </c>
      <c r="B8" s="9">
        <v>0.0</v>
      </c>
      <c r="C8" s="9">
        <v>0.0</v>
      </c>
      <c r="D8" s="9">
        <v>0.0</v>
      </c>
      <c r="E8" s="9">
        <v>499.95</v>
      </c>
      <c r="F8" s="9">
        <f t="shared" si="1"/>
        <v>0</v>
      </c>
      <c r="G8" s="9">
        <f t="shared" si="2"/>
        <v>0</v>
      </c>
    </row>
    <row r="9">
      <c r="A9" s="7">
        <v>45910.0</v>
      </c>
      <c r="B9" s="9">
        <v>0.0</v>
      </c>
      <c r="C9" s="9">
        <v>39.0</v>
      </c>
      <c r="D9" s="9">
        <v>0.0</v>
      </c>
      <c r="E9" s="9">
        <v>500.82</v>
      </c>
      <c r="F9" s="9">
        <f t="shared" si="1"/>
        <v>39</v>
      </c>
      <c r="G9" s="9">
        <f t="shared" si="2"/>
        <v>19531.98</v>
      </c>
    </row>
    <row r="10">
      <c r="A10" s="7">
        <v>45911.0</v>
      </c>
      <c r="B10" s="9">
        <v>4.2</v>
      </c>
      <c r="C10" s="9">
        <v>9.8</v>
      </c>
      <c r="D10" s="9">
        <v>0.0</v>
      </c>
      <c r="E10" s="9">
        <v>501.08</v>
      </c>
      <c r="F10" s="9">
        <f t="shared" si="1"/>
        <v>14</v>
      </c>
      <c r="G10" s="9">
        <f t="shared" si="2"/>
        <v>7015.12</v>
      </c>
    </row>
    <row r="11">
      <c r="A11" s="7">
        <v>45912.0</v>
      </c>
      <c r="B11" s="9">
        <v>0.0</v>
      </c>
      <c r="C11" s="9">
        <v>22.199999999999996</v>
      </c>
      <c r="D11" s="9">
        <v>0.0</v>
      </c>
      <c r="E11" s="9">
        <v>508.24</v>
      </c>
      <c r="F11" s="9">
        <f t="shared" si="1"/>
        <v>22.2</v>
      </c>
      <c r="G11" s="9">
        <f t="shared" si="2"/>
        <v>11282.928</v>
      </c>
    </row>
    <row r="12">
      <c r="A12" s="7">
        <v>45915.0</v>
      </c>
      <c r="B12" s="9">
        <v>3.8</v>
      </c>
      <c r="C12" s="9">
        <v>17.8</v>
      </c>
      <c r="D12" s="9">
        <v>0.0</v>
      </c>
      <c r="E12" s="9">
        <v>511.66</v>
      </c>
      <c r="F12" s="9">
        <f t="shared" si="1"/>
        <v>21.6</v>
      </c>
      <c r="G12" s="9">
        <f t="shared" si="2"/>
        <v>11051.856</v>
      </c>
    </row>
    <row r="13">
      <c r="A13" s="7">
        <v>45916.0</v>
      </c>
      <c r="B13" s="9">
        <v>0.0</v>
      </c>
      <c r="C13" s="9">
        <v>0.0</v>
      </c>
      <c r="D13" s="9">
        <v>0.0</v>
      </c>
      <c r="E13" s="9">
        <v>512.94</v>
      </c>
      <c r="F13" s="9">
        <f t="shared" si="1"/>
        <v>0</v>
      </c>
      <c r="G13" s="9">
        <f t="shared" si="2"/>
        <v>0</v>
      </c>
    </row>
    <row r="14">
      <c r="A14" s="7">
        <v>45917.0</v>
      </c>
      <c r="B14" s="9">
        <v>1.2</v>
      </c>
      <c r="C14" s="9">
        <v>0.0</v>
      </c>
      <c r="D14" s="9">
        <v>0.0</v>
      </c>
      <c r="E14" s="9">
        <v>509.47</v>
      </c>
      <c r="F14" s="9">
        <f t="shared" si="1"/>
        <v>1.2</v>
      </c>
      <c r="G14" s="9">
        <f t="shared" si="2"/>
        <v>611.364</v>
      </c>
    </row>
    <row r="15">
      <c r="A15" s="7">
        <v>45918.0</v>
      </c>
      <c r="B15" s="9">
        <v>0.0</v>
      </c>
      <c r="C15" s="9">
        <v>0.0</v>
      </c>
      <c r="D15" s="9">
        <v>0.0</v>
      </c>
      <c r="E15" s="9">
        <v>510.17</v>
      </c>
      <c r="F15" s="9">
        <f t="shared" si="1"/>
        <v>0</v>
      </c>
      <c r="G15" s="9">
        <f t="shared" si="2"/>
        <v>0</v>
      </c>
    </row>
    <row r="16">
      <c r="A16" s="7">
        <v>45919.0</v>
      </c>
      <c r="B16" s="9">
        <v>1.8</v>
      </c>
      <c r="C16" s="9">
        <v>0.0</v>
      </c>
      <c r="D16" s="9">
        <v>0.0</v>
      </c>
      <c r="E16" s="9">
        <v>514.53</v>
      </c>
      <c r="F16" s="9">
        <f t="shared" si="1"/>
        <v>1.8</v>
      </c>
      <c r="G16" s="9">
        <f t="shared" si="2"/>
        <v>926.154</v>
      </c>
    </row>
    <row r="17">
      <c r="A17" s="7">
        <v>45922.0</v>
      </c>
      <c r="B17" s="9">
        <v>0.0</v>
      </c>
      <c r="C17" s="9">
        <v>0.0</v>
      </c>
      <c r="D17" s="9">
        <v>0.0</v>
      </c>
      <c r="E17" s="9">
        <v>515.08</v>
      </c>
      <c r="F17" s="9">
        <f t="shared" si="1"/>
        <v>0</v>
      </c>
      <c r="G17" s="9">
        <f t="shared" si="2"/>
        <v>0</v>
      </c>
    </row>
    <row r="18">
      <c r="A18" s="7">
        <v>45923.0</v>
      </c>
      <c r="B18" s="9">
        <v>0.0</v>
      </c>
      <c r="C18" s="9">
        <v>0.0</v>
      </c>
      <c r="D18" s="9">
        <v>0.0</v>
      </c>
      <c r="E18" s="9">
        <v>511.23</v>
      </c>
      <c r="F18" s="9">
        <f t="shared" si="1"/>
        <v>0</v>
      </c>
      <c r="G18" s="9">
        <f t="shared" si="2"/>
        <v>0</v>
      </c>
    </row>
    <row r="19">
      <c r="A19" s="7">
        <v>45924.0</v>
      </c>
      <c r="B19" s="9">
        <v>0.0</v>
      </c>
      <c r="C19" s="9">
        <v>-2.6</v>
      </c>
      <c r="D19" s="9">
        <v>0.0</v>
      </c>
      <c r="E19" s="9">
        <v>510.0</v>
      </c>
      <c r="F19" s="9">
        <f t="shared" si="1"/>
        <v>-2.6</v>
      </c>
      <c r="G19" s="9">
        <f t="shared" si="2"/>
        <v>-1326</v>
      </c>
    </row>
    <row r="20">
      <c r="A20" s="7">
        <v>45925.0</v>
      </c>
      <c r="B20" s="9">
        <v>0.0</v>
      </c>
      <c r="C20" s="9">
        <v>0.0</v>
      </c>
      <c r="D20" s="9">
        <v>0.0</v>
      </c>
      <c r="E20" s="9">
        <v>507.59</v>
      </c>
      <c r="F20" s="9">
        <f t="shared" si="1"/>
        <v>0</v>
      </c>
      <c r="G20" s="9">
        <f t="shared" si="2"/>
        <v>0</v>
      </c>
    </row>
    <row r="21">
      <c r="A21" s="7">
        <v>45926.0</v>
      </c>
      <c r="B21" s="9">
        <v>0.0</v>
      </c>
      <c r="C21" s="9">
        <v>-5.0</v>
      </c>
      <c r="D21" s="9">
        <v>0.6</v>
      </c>
      <c r="E21" s="9">
        <v>510.52</v>
      </c>
      <c r="F21" s="9">
        <f t="shared" si="1"/>
        <v>-4.4</v>
      </c>
      <c r="G21" s="9">
        <f t="shared" si="2"/>
        <v>-2246.288</v>
      </c>
    </row>
    <row r="22">
      <c r="A22" s="7">
        <v>45929.0</v>
      </c>
      <c r="B22" s="9">
        <v>0.0</v>
      </c>
      <c r="C22" s="9">
        <v>0.0</v>
      </c>
      <c r="D22" s="9">
        <v>2.0</v>
      </c>
      <c r="E22" s="9">
        <v>512.96</v>
      </c>
      <c r="F22" s="9">
        <f t="shared" si="1"/>
        <v>2</v>
      </c>
      <c r="G22" s="9">
        <f t="shared" si="2"/>
        <v>1025.92</v>
      </c>
    </row>
    <row r="23">
      <c r="A23" s="7">
        <v>45930.0</v>
      </c>
      <c r="B23" s="9">
        <v>0.0</v>
      </c>
      <c r="C23" s="9">
        <v>0.0</v>
      </c>
      <c r="D23" s="9">
        <v>0.0</v>
      </c>
      <c r="E23" s="9">
        <v>514.75</v>
      </c>
      <c r="F23" s="9">
        <f t="shared" si="1"/>
        <v>0</v>
      </c>
      <c r="G23" s="9">
        <f t="shared" si="2"/>
        <v>0</v>
      </c>
    </row>
    <row r="24">
      <c r="A24" s="7">
        <v>45931.0</v>
      </c>
      <c r="B24" s="9">
        <v>0.0</v>
      </c>
      <c r="C24" s="9">
        <v>0.0</v>
      </c>
      <c r="D24" s="9">
        <v>0.0</v>
      </c>
      <c r="E24" s="9">
        <v>516.68</v>
      </c>
      <c r="F24" s="9">
        <f t="shared" si="1"/>
        <v>0</v>
      </c>
      <c r="G24" s="9">
        <f t="shared" si="2"/>
        <v>0</v>
      </c>
    </row>
    <row r="25">
      <c r="A25" s="7">
        <v>45932.0</v>
      </c>
      <c r="B25" s="9">
        <v>0.0</v>
      </c>
      <c r="C25" s="9">
        <v>0.0</v>
      </c>
      <c r="D25" s="9">
        <v>0.0</v>
      </c>
      <c r="E25" s="9">
        <v>516.41</v>
      </c>
      <c r="F25" s="9">
        <f t="shared" si="1"/>
        <v>0</v>
      </c>
      <c r="G25" s="9">
        <f t="shared" si="2"/>
        <v>0</v>
      </c>
    </row>
    <row r="26">
      <c r="A26" s="7">
        <v>45933.0</v>
      </c>
      <c r="B26" s="9">
        <v>0.0</v>
      </c>
      <c r="C26" s="9">
        <v>0.0</v>
      </c>
      <c r="D26" s="9">
        <v>0.0</v>
      </c>
      <c r="E26" s="9">
        <v>517.49</v>
      </c>
      <c r="F26" s="9">
        <f t="shared" si="1"/>
        <v>0</v>
      </c>
      <c r="G26" s="9">
        <f t="shared" si="2"/>
        <v>0</v>
      </c>
    </row>
    <row r="27">
      <c r="A27" s="7">
        <v>45936.0</v>
      </c>
      <c r="B27" s="9">
        <v>-3.2</v>
      </c>
      <c r="C27" s="9">
        <v>0.0</v>
      </c>
      <c r="D27" s="9">
        <v>0.0</v>
      </c>
      <c r="E27" s="9">
        <v>524.1</v>
      </c>
      <c r="F27" s="9">
        <f t="shared" si="1"/>
        <v>-3.2</v>
      </c>
      <c r="G27" s="14">
        <f t="shared" si="2"/>
        <v>-1677.12</v>
      </c>
    </row>
    <row r="28">
      <c r="A28" s="7">
        <v>45937.0</v>
      </c>
      <c r="B28" s="9">
        <v>0.0</v>
      </c>
      <c r="C28" s="9">
        <v>16.2</v>
      </c>
      <c r="D28" s="9">
        <v>0.0</v>
      </c>
      <c r="E28" s="9">
        <v>525.88</v>
      </c>
      <c r="F28" s="9">
        <f t="shared" si="1"/>
        <v>16.2</v>
      </c>
      <c r="G28" s="14">
        <f t="shared" si="2"/>
        <v>8519.256</v>
      </c>
    </row>
    <row r="29">
      <c r="A29" s="7">
        <v>45938.0</v>
      </c>
      <c r="B29" s="9">
        <v>0.0</v>
      </c>
      <c r="C29" s="9">
        <v>0.0</v>
      </c>
      <c r="D29" s="9">
        <v>0.0</v>
      </c>
      <c r="E29" s="9">
        <v>524.54</v>
      </c>
      <c r="F29" s="9">
        <f t="shared" si="1"/>
        <v>0</v>
      </c>
      <c r="G29" s="9">
        <v>0.0</v>
      </c>
    </row>
    <row r="30">
      <c r="A30" s="7">
        <v>45939.0</v>
      </c>
      <c r="B30" s="9">
        <v>1.4</v>
      </c>
      <c r="C30" s="9">
        <v>0.0</v>
      </c>
      <c r="D30" s="9">
        <v>0.0</v>
      </c>
      <c r="E30" s="9">
        <v>521.62</v>
      </c>
      <c r="F30" s="9">
        <f t="shared" si="1"/>
        <v>1.4</v>
      </c>
      <c r="G30" s="14">
        <f t="shared" ref="G30:G57" si="3">E30*F30</f>
        <v>730.268</v>
      </c>
    </row>
    <row r="31">
      <c r="A31" s="7">
        <v>45940.0</v>
      </c>
      <c r="B31" s="9">
        <v>0.0</v>
      </c>
      <c r="C31" s="9">
        <v>0.0</v>
      </c>
      <c r="D31" s="9">
        <v>0.0</v>
      </c>
      <c r="E31" s="9">
        <v>515.95</v>
      </c>
      <c r="F31" s="9">
        <f t="shared" si="1"/>
        <v>0</v>
      </c>
      <c r="G31" s="14">
        <f t="shared" si="3"/>
        <v>0</v>
      </c>
    </row>
    <row r="32">
      <c r="A32" s="7">
        <v>45943.0</v>
      </c>
      <c r="B32" s="9">
        <v>0.0</v>
      </c>
      <c r="C32" s="9">
        <v>-10.2</v>
      </c>
      <c r="D32" s="9">
        <v>0.0</v>
      </c>
      <c r="E32" s="9">
        <v>514.64</v>
      </c>
      <c r="F32" s="14">
        <f t="shared" si="1"/>
        <v>-10.2</v>
      </c>
      <c r="G32" s="14">
        <f t="shared" si="3"/>
        <v>-5249.328</v>
      </c>
      <c r="I32" s="132"/>
      <c r="J32" s="78"/>
      <c r="K32" s="78"/>
      <c r="M32" s="132"/>
      <c r="N32" s="78"/>
      <c r="O32" s="78"/>
    </row>
    <row r="33">
      <c r="A33" s="7">
        <v>45944.0</v>
      </c>
      <c r="B33" s="9">
        <v>0.0</v>
      </c>
      <c r="C33" s="9">
        <v>-2.6</v>
      </c>
      <c r="D33" s="9">
        <v>0.0</v>
      </c>
      <c r="E33" s="9">
        <v>511.62</v>
      </c>
      <c r="F33" s="14">
        <f t="shared" si="1"/>
        <v>-2.6</v>
      </c>
      <c r="G33" s="14">
        <f t="shared" si="3"/>
        <v>-1330.212</v>
      </c>
      <c r="I33" s="133"/>
      <c r="J33" s="45"/>
      <c r="K33" s="45"/>
      <c r="M33" s="78"/>
      <c r="N33" s="115"/>
      <c r="O33" s="150"/>
    </row>
    <row r="34">
      <c r="A34" s="7">
        <v>45945.0</v>
      </c>
      <c r="B34" s="9">
        <v>0.0</v>
      </c>
      <c r="C34" s="9">
        <v>0.0</v>
      </c>
      <c r="D34" s="9">
        <v>0.0</v>
      </c>
      <c r="E34" s="9">
        <v>513.54</v>
      </c>
      <c r="F34" s="14">
        <f t="shared" si="1"/>
        <v>0</v>
      </c>
      <c r="G34" s="14">
        <f t="shared" si="3"/>
        <v>0</v>
      </c>
      <c r="I34" s="134"/>
      <c r="J34" s="18"/>
      <c r="K34" s="18"/>
      <c r="M34" s="145"/>
      <c r="N34" s="81"/>
      <c r="O34" s="81"/>
    </row>
    <row r="35">
      <c r="A35" s="7">
        <v>45946.0</v>
      </c>
      <c r="B35" s="9">
        <v>0.0</v>
      </c>
      <c r="C35" s="9">
        <v>-5.2</v>
      </c>
      <c r="D35" s="9">
        <v>0.0</v>
      </c>
      <c r="E35" s="9">
        <v>512.2</v>
      </c>
      <c r="F35" s="14">
        <f t="shared" si="1"/>
        <v>-5.2</v>
      </c>
      <c r="G35" s="14">
        <f t="shared" si="3"/>
        <v>-2663.44</v>
      </c>
      <c r="I35" s="133"/>
      <c r="J35" s="45"/>
      <c r="K35" s="86"/>
      <c r="M35" s="78"/>
      <c r="N35" s="115"/>
      <c r="O35" s="83"/>
    </row>
    <row r="36">
      <c r="A36" s="7">
        <v>45947.0</v>
      </c>
      <c r="B36" s="9">
        <v>-1.8</v>
      </c>
      <c r="C36" s="9">
        <v>0.0</v>
      </c>
      <c r="D36" s="9">
        <v>-1.4</v>
      </c>
      <c r="E36" s="9">
        <v>512.12</v>
      </c>
      <c r="F36" s="14">
        <f t="shared" si="1"/>
        <v>-3.2</v>
      </c>
      <c r="G36" s="14">
        <f t="shared" si="3"/>
        <v>-1638.784</v>
      </c>
      <c r="I36" s="134"/>
      <c r="J36" s="18"/>
      <c r="K36" s="86"/>
      <c r="M36" s="145"/>
      <c r="N36" s="81"/>
      <c r="O36" s="81"/>
    </row>
    <row r="37">
      <c r="A37" s="7">
        <v>45950.0</v>
      </c>
      <c r="B37" s="9">
        <v>0.0</v>
      </c>
      <c r="C37" s="9">
        <v>0.0</v>
      </c>
      <c r="D37" s="9">
        <v>0.0</v>
      </c>
      <c r="E37" s="9">
        <v>516.31</v>
      </c>
      <c r="F37" s="14">
        <f t="shared" si="1"/>
        <v>0</v>
      </c>
      <c r="G37" s="14">
        <f t="shared" si="3"/>
        <v>0</v>
      </c>
      <c r="I37" s="133"/>
      <c r="J37" s="45"/>
      <c r="K37" s="86"/>
      <c r="M37" s="78"/>
      <c r="N37" s="115"/>
      <c r="O37" s="80"/>
    </row>
    <row r="38">
      <c r="A38" s="7">
        <v>45951.0</v>
      </c>
      <c r="B38" s="9">
        <v>0.0</v>
      </c>
      <c r="C38" s="9">
        <v>0.0</v>
      </c>
      <c r="D38" s="9">
        <v>0.0</v>
      </c>
      <c r="E38" s="9">
        <v>516.46</v>
      </c>
      <c r="F38" s="14">
        <f t="shared" si="1"/>
        <v>0</v>
      </c>
      <c r="G38" s="14">
        <f t="shared" si="3"/>
        <v>0</v>
      </c>
      <c r="I38" s="134"/>
      <c r="J38" s="18"/>
      <c r="K38" s="86"/>
    </row>
    <row r="39">
      <c r="A39" s="7">
        <v>45952.0</v>
      </c>
      <c r="B39" s="9">
        <v>0.0</v>
      </c>
      <c r="C39" s="9">
        <v>0.0</v>
      </c>
      <c r="D39" s="9">
        <v>2.0</v>
      </c>
      <c r="E39" s="9">
        <v>521.16</v>
      </c>
      <c r="F39" s="14">
        <f t="shared" si="1"/>
        <v>2</v>
      </c>
      <c r="G39" s="14">
        <f t="shared" si="3"/>
        <v>1042.32</v>
      </c>
      <c r="I39" s="134"/>
      <c r="J39" s="18"/>
      <c r="K39" s="86"/>
    </row>
    <row r="40">
      <c r="A40" s="7">
        <v>45953.0</v>
      </c>
      <c r="B40" s="9">
        <v>0.0</v>
      </c>
      <c r="C40" s="9">
        <v>-2.6</v>
      </c>
      <c r="D40" s="9">
        <v>0.0</v>
      </c>
      <c r="E40" s="9">
        <v>521.04</v>
      </c>
      <c r="F40" s="14">
        <f t="shared" si="1"/>
        <v>-2.6</v>
      </c>
      <c r="G40" s="14">
        <f t="shared" si="3"/>
        <v>-1354.704</v>
      </c>
      <c r="I40" s="134"/>
      <c r="J40" s="18"/>
      <c r="K40" s="86"/>
    </row>
    <row r="41">
      <c r="A41" s="7">
        <v>45954.0</v>
      </c>
      <c r="B41" s="9">
        <v>0.0</v>
      </c>
      <c r="C41" s="9">
        <v>0.0</v>
      </c>
      <c r="D41" s="9">
        <v>0.8</v>
      </c>
      <c r="E41" s="9">
        <v>523.22</v>
      </c>
      <c r="F41" s="14">
        <f t="shared" si="1"/>
        <v>0.8</v>
      </c>
      <c r="G41" s="14">
        <f t="shared" si="3"/>
        <v>418.576</v>
      </c>
      <c r="I41" s="134"/>
      <c r="J41" s="18"/>
      <c r="K41" s="86"/>
    </row>
    <row r="42">
      <c r="A42" s="7">
        <v>45957.0</v>
      </c>
      <c r="B42" s="9">
        <v>0.0</v>
      </c>
      <c r="C42" s="9">
        <v>0.0</v>
      </c>
      <c r="D42" s="9">
        <v>0.0</v>
      </c>
      <c r="E42" s="9">
        <v>530.34</v>
      </c>
      <c r="F42" s="14">
        <f t="shared" si="1"/>
        <v>0</v>
      </c>
      <c r="G42" s="14">
        <f t="shared" si="3"/>
        <v>0</v>
      </c>
      <c r="I42" s="134"/>
      <c r="J42" s="18"/>
      <c r="K42" s="86"/>
    </row>
    <row r="43">
      <c r="A43" s="7">
        <v>45958.0</v>
      </c>
      <c r="B43" s="9">
        <v>7.4</v>
      </c>
      <c r="C43" s="9">
        <v>-5.4</v>
      </c>
      <c r="D43" s="9">
        <v>0.0</v>
      </c>
      <c r="E43" s="9">
        <v>545.52</v>
      </c>
      <c r="F43" s="14">
        <f t="shared" si="1"/>
        <v>2</v>
      </c>
      <c r="G43" s="14">
        <f t="shared" si="3"/>
        <v>1091.04</v>
      </c>
      <c r="I43" s="134"/>
      <c r="J43" s="18"/>
      <c r="K43" s="86"/>
    </row>
    <row r="44">
      <c r="A44" s="7">
        <v>45959.0</v>
      </c>
      <c r="B44" s="9">
        <v>14.6</v>
      </c>
      <c r="C44" s="9">
        <v>-11.4</v>
      </c>
      <c r="D44" s="9">
        <v>0.0</v>
      </c>
      <c r="E44" s="9">
        <v>541.52</v>
      </c>
      <c r="F44" s="14">
        <f t="shared" si="1"/>
        <v>3.2</v>
      </c>
      <c r="G44" s="14">
        <f t="shared" si="3"/>
        <v>1732.864</v>
      </c>
      <c r="I44" s="134"/>
      <c r="J44" s="18"/>
      <c r="K44" s="86"/>
    </row>
    <row r="45">
      <c r="A45" s="7">
        <v>45960.0</v>
      </c>
      <c r="B45" s="9">
        <v>2.8</v>
      </c>
      <c r="C45" s="9">
        <v>79.0</v>
      </c>
      <c r="D45" s="9">
        <v>3.0</v>
      </c>
      <c r="E45" s="9">
        <v>527.62</v>
      </c>
      <c r="F45" s="14">
        <f t="shared" si="1"/>
        <v>84.8</v>
      </c>
      <c r="G45" s="14">
        <f t="shared" si="3"/>
        <v>44742.176</v>
      </c>
      <c r="I45" s="134"/>
      <c r="J45" s="18"/>
      <c r="K45" s="86"/>
    </row>
    <row r="46">
      <c r="A46" s="7">
        <v>45961.0</v>
      </c>
      <c r="B46" s="9">
        <v>2.6</v>
      </c>
      <c r="C46" s="9">
        <v>26.6</v>
      </c>
      <c r="D46" s="9">
        <v>7.8</v>
      </c>
      <c r="E46" s="9">
        <v>520.74</v>
      </c>
      <c r="F46" s="14">
        <f t="shared" si="1"/>
        <v>37</v>
      </c>
      <c r="G46" s="14">
        <f t="shared" si="3"/>
        <v>19267.38</v>
      </c>
      <c r="I46" s="136"/>
      <c r="J46" s="91"/>
      <c r="K46" s="90"/>
    </row>
    <row r="47">
      <c r="A47" s="7">
        <v>45964.0</v>
      </c>
      <c r="B47" s="9">
        <v>5.6</v>
      </c>
      <c r="C47" s="9">
        <v>72.2</v>
      </c>
      <c r="D47" s="9">
        <v>0.0</v>
      </c>
      <c r="E47" s="9">
        <v>518.86</v>
      </c>
      <c r="F47" s="14">
        <f t="shared" si="1"/>
        <v>77.8</v>
      </c>
      <c r="G47" s="14">
        <f t="shared" si="3"/>
        <v>40367.308</v>
      </c>
      <c r="I47" s="91"/>
      <c r="J47" s="121"/>
      <c r="K47" s="93"/>
    </row>
    <row r="48">
      <c r="A48" s="7">
        <v>45965.0</v>
      </c>
      <c r="B48" s="9">
        <v>-1.8</v>
      </c>
      <c r="C48" s="9">
        <v>-5.2</v>
      </c>
      <c r="D48" s="9">
        <v>0.0</v>
      </c>
      <c r="E48" s="9">
        <v>512.57</v>
      </c>
      <c r="F48" s="14">
        <f t="shared" si="1"/>
        <v>-7</v>
      </c>
      <c r="G48" s="14">
        <f t="shared" si="3"/>
        <v>-3587.99</v>
      </c>
      <c r="I48" s="94"/>
      <c r="J48" s="94"/>
      <c r="K48" s="96"/>
    </row>
    <row r="49">
      <c r="A49" s="7">
        <v>45966.0</v>
      </c>
      <c r="B49" s="9">
        <v>2.6</v>
      </c>
      <c r="C49" s="9">
        <v>0.0</v>
      </c>
      <c r="D49" s="9">
        <v>0.0</v>
      </c>
      <c r="E49" s="9">
        <v>509.52</v>
      </c>
      <c r="F49" s="14">
        <f t="shared" si="1"/>
        <v>2.6</v>
      </c>
      <c r="G49" s="14">
        <f t="shared" si="3"/>
        <v>1324.752</v>
      </c>
      <c r="I49" s="91"/>
      <c r="J49" s="121"/>
      <c r="K49" s="93"/>
    </row>
    <row r="50">
      <c r="A50" s="7">
        <v>45967.0</v>
      </c>
      <c r="B50" s="9">
        <v>0.0</v>
      </c>
      <c r="C50" s="9">
        <v>0.0</v>
      </c>
      <c r="D50" s="9">
        <v>0.0</v>
      </c>
      <c r="E50" s="9">
        <v>499.54</v>
      </c>
      <c r="F50" s="14">
        <f t="shared" si="1"/>
        <v>0</v>
      </c>
      <c r="G50" s="14">
        <f t="shared" si="3"/>
        <v>0</v>
      </c>
      <c r="I50" s="94"/>
      <c r="J50" s="94"/>
      <c r="K50" s="96"/>
    </row>
    <row r="51">
      <c r="A51" s="7">
        <v>45968.0</v>
      </c>
      <c r="B51" s="9">
        <v>0.0</v>
      </c>
      <c r="C51" s="9">
        <v>0.0</v>
      </c>
      <c r="D51" s="9">
        <v>-2.0</v>
      </c>
      <c r="E51" s="9">
        <v>496.48</v>
      </c>
      <c r="F51" s="14">
        <f t="shared" si="1"/>
        <v>-2</v>
      </c>
      <c r="G51" s="14">
        <f t="shared" si="3"/>
        <v>-992.96</v>
      </c>
      <c r="I51" s="136"/>
      <c r="J51" s="91"/>
      <c r="K51" s="90"/>
      <c r="M51" s="137" t="s">
        <v>201</v>
      </c>
      <c r="N51" s="33" t="s">
        <v>65</v>
      </c>
      <c r="O51" s="33" t="s">
        <v>66</v>
      </c>
    </row>
    <row r="52">
      <c r="A52" s="7">
        <v>45971.0</v>
      </c>
      <c r="B52" s="9">
        <v>0.0</v>
      </c>
      <c r="C52" s="9">
        <v>0.0</v>
      </c>
      <c r="D52" s="9">
        <v>0.0</v>
      </c>
      <c r="E52" s="9">
        <v>503.88</v>
      </c>
      <c r="F52" s="14">
        <f t="shared" si="1"/>
        <v>0</v>
      </c>
      <c r="G52" s="14">
        <f t="shared" si="3"/>
        <v>0</v>
      </c>
      <c r="I52" s="137" t="s">
        <v>201</v>
      </c>
      <c r="J52" s="33" t="s">
        <v>65</v>
      </c>
      <c r="K52" s="98" t="s">
        <v>66</v>
      </c>
      <c r="M52" s="33" t="s">
        <v>145</v>
      </c>
      <c r="N52" s="147">
        <v>0.0</v>
      </c>
      <c r="O52" s="138" t="s">
        <v>178</v>
      </c>
    </row>
    <row r="53">
      <c r="A53" s="7">
        <v>45972.0</v>
      </c>
      <c r="B53" s="9">
        <v>0.0</v>
      </c>
      <c r="C53" s="9">
        <v>0.0</v>
      </c>
      <c r="D53" s="9">
        <v>0.0</v>
      </c>
      <c r="E53" s="9">
        <v>506.88</v>
      </c>
      <c r="F53" s="14">
        <f t="shared" si="1"/>
        <v>0</v>
      </c>
      <c r="G53" s="14">
        <f t="shared" si="3"/>
        <v>0</v>
      </c>
      <c r="I53" s="33" t="s">
        <v>145</v>
      </c>
      <c r="J53" s="139">
        <f>F57</f>
        <v>0</v>
      </c>
      <c r="K53" s="100">
        <f>E57</f>
        <v>508.17</v>
      </c>
      <c r="M53" s="36"/>
      <c r="N53" s="36"/>
      <c r="O53" s="36"/>
    </row>
    <row r="54">
      <c r="A54" s="7">
        <v>45973.0</v>
      </c>
      <c r="B54" s="9">
        <v>0.0</v>
      </c>
      <c r="C54" s="9">
        <v>0.0</v>
      </c>
      <c r="D54" s="9">
        <v>0.0</v>
      </c>
      <c r="E54" s="9">
        <v>507.31</v>
      </c>
      <c r="F54" s="14">
        <f t="shared" si="1"/>
        <v>0</v>
      </c>
      <c r="G54" s="14">
        <f t="shared" si="3"/>
        <v>0</v>
      </c>
      <c r="I54" s="36"/>
      <c r="J54" s="36"/>
      <c r="K54" s="54"/>
      <c r="M54" s="33" t="s">
        <v>68</v>
      </c>
      <c r="N54" s="126">
        <v>-1.4</v>
      </c>
      <c r="O54" s="103">
        <v>505.43</v>
      </c>
    </row>
    <row r="55">
      <c r="A55" s="7">
        <v>45974.0</v>
      </c>
      <c r="B55" s="9">
        <v>-3.6</v>
      </c>
      <c r="C55" s="9">
        <v>0.0</v>
      </c>
      <c r="D55" s="9">
        <v>0.0</v>
      </c>
      <c r="E55" s="9">
        <v>506.03</v>
      </c>
      <c r="F55" s="14">
        <f t="shared" si="1"/>
        <v>-3.6</v>
      </c>
      <c r="G55" s="14">
        <f t="shared" si="3"/>
        <v>-1821.708</v>
      </c>
      <c r="I55" s="33" t="s">
        <v>68</v>
      </c>
      <c r="J55" s="139">
        <f>SUM(F53:F57)</f>
        <v>-1.4</v>
      </c>
      <c r="K55" s="100">
        <f>SUM(G53:G57)/J55</f>
        <v>505.4328571</v>
      </c>
      <c r="M55" s="36"/>
      <c r="N55" s="36"/>
      <c r="O55" s="36"/>
    </row>
    <row r="56">
      <c r="A56" s="7">
        <v>45975.0</v>
      </c>
      <c r="B56" s="9">
        <v>3.6</v>
      </c>
      <c r="C56" s="9">
        <v>0.0</v>
      </c>
      <c r="D56" s="9">
        <v>-1.4</v>
      </c>
      <c r="E56" s="9">
        <v>506.41</v>
      </c>
      <c r="F56" s="14">
        <f t="shared" si="1"/>
        <v>2.2</v>
      </c>
      <c r="G56" s="14">
        <f t="shared" si="3"/>
        <v>1114.102</v>
      </c>
      <c r="I56" s="36"/>
      <c r="J56" s="36"/>
      <c r="K56" s="54"/>
      <c r="M56" s="33" t="s">
        <v>69</v>
      </c>
      <c r="N56" s="131">
        <v>197.2</v>
      </c>
      <c r="O56" s="103">
        <v>524.05</v>
      </c>
    </row>
    <row r="57">
      <c r="A57" s="7">
        <v>45976.0</v>
      </c>
      <c r="B57" s="9">
        <v>0.0</v>
      </c>
      <c r="C57" s="9">
        <v>0.0</v>
      </c>
      <c r="D57" s="9">
        <v>0.0</v>
      </c>
      <c r="E57" s="9">
        <v>508.17</v>
      </c>
      <c r="F57" s="14">
        <f t="shared" si="1"/>
        <v>0</v>
      </c>
      <c r="G57" s="14">
        <f t="shared" si="3"/>
        <v>0</v>
      </c>
      <c r="I57" s="33" t="s">
        <v>69</v>
      </c>
      <c r="J57" s="139">
        <f>SUM(F38:F57)</f>
        <v>197.2</v>
      </c>
      <c r="K57" s="100">
        <f>SUM(G38:G57)/J57</f>
        <v>524.0525152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9" t="s">
        <v>0</v>
      </c>
      <c r="B1" s="110" t="s">
        <v>202</v>
      </c>
      <c r="C1" s="110" t="s">
        <v>203</v>
      </c>
      <c r="D1" s="110" t="s">
        <v>204</v>
      </c>
      <c r="E1" s="110" t="s">
        <v>151</v>
      </c>
      <c r="F1" s="110" t="s">
        <v>3</v>
      </c>
    </row>
    <row r="2">
      <c r="A2" s="75">
        <v>45898.0</v>
      </c>
      <c r="B2" s="9">
        <v>-2.4</v>
      </c>
      <c r="C2" s="9">
        <v>0.3</v>
      </c>
      <c r="D2" s="9">
        <v>0.0</v>
      </c>
      <c r="E2" s="9">
        <v>0.0</v>
      </c>
      <c r="F2" s="9">
        <v>0.0</v>
      </c>
    </row>
    <row r="3">
      <c r="A3" s="7">
        <v>45902.0</v>
      </c>
      <c r="B3" s="9">
        <v>-37.2</v>
      </c>
      <c r="C3" s="9">
        <v>-0.3</v>
      </c>
      <c r="D3" s="9">
        <v>0.0</v>
      </c>
      <c r="E3" s="9">
        <v>0.0</v>
      </c>
      <c r="F3" s="9">
        <v>0.0</v>
      </c>
    </row>
    <row r="4">
      <c r="A4" s="7">
        <v>45903.0</v>
      </c>
      <c r="B4" s="9">
        <v>-14.6</v>
      </c>
      <c r="C4" s="9">
        <v>-1.0</v>
      </c>
      <c r="D4" s="9">
        <v>0.0</v>
      </c>
      <c r="E4" s="9">
        <v>0.0</v>
      </c>
      <c r="F4" s="9">
        <v>0.0</v>
      </c>
    </row>
    <row r="5">
      <c r="A5" s="7">
        <v>45904.0</v>
      </c>
      <c r="B5" s="9">
        <v>-66.2</v>
      </c>
      <c r="C5" s="9">
        <v>-14.4</v>
      </c>
      <c r="D5" s="9">
        <v>0.0</v>
      </c>
      <c r="E5" s="9">
        <v>0.0</v>
      </c>
      <c r="F5" s="9">
        <v>0.0</v>
      </c>
    </row>
    <row r="6">
      <c r="A6" s="7">
        <v>45905.0</v>
      </c>
      <c r="B6" s="9">
        <v>-14.6</v>
      </c>
      <c r="C6" s="9">
        <v>2.3</v>
      </c>
      <c r="D6" s="9">
        <v>0.0</v>
      </c>
      <c r="E6" s="9">
        <v>0.0</v>
      </c>
      <c r="F6" s="9">
        <v>0.0</v>
      </c>
    </row>
    <row r="7">
      <c r="A7" s="7">
        <v>45908.0</v>
      </c>
      <c r="B7" s="9">
        <v>0.0</v>
      </c>
      <c r="C7" s="9">
        <v>-1.0</v>
      </c>
      <c r="D7" s="9">
        <v>235.52</v>
      </c>
      <c r="E7" s="9">
        <f t="shared" ref="E7:E57" si="1">SUM(B7:C7)</f>
        <v>-1</v>
      </c>
      <c r="F7" s="9">
        <f t="shared" ref="F7:F26" si="2">E7*D7</f>
        <v>-235.52</v>
      </c>
    </row>
    <row r="8">
      <c r="A8" s="7">
        <v>45909.0</v>
      </c>
      <c r="B8" s="9">
        <v>0.0</v>
      </c>
      <c r="C8" s="9">
        <v>-1.2</v>
      </c>
      <c r="D8" s="9">
        <v>237.02</v>
      </c>
      <c r="E8" s="9">
        <f t="shared" si="1"/>
        <v>-1.2</v>
      </c>
      <c r="F8" s="9">
        <f t="shared" si="2"/>
        <v>-284.424</v>
      </c>
    </row>
    <row r="9">
      <c r="A9" s="7">
        <v>45910.0</v>
      </c>
      <c r="B9" s="9">
        <v>0.0</v>
      </c>
      <c r="C9" s="9">
        <v>-1.1</v>
      </c>
      <c r="D9" s="9">
        <v>239.75</v>
      </c>
      <c r="E9" s="9">
        <f t="shared" si="1"/>
        <v>-1.1</v>
      </c>
      <c r="F9" s="9">
        <f t="shared" si="2"/>
        <v>-263.725</v>
      </c>
    </row>
    <row r="10">
      <c r="A10" s="7">
        <v>45911.0</v>
      </c>
      <c r="B10" s="9">
        <v>-21.6</v>
      </c>
      <c r="C10" s="9">
        <v>-2.3</v>
      </c>
      <c r="D10" s="9">
        <v>240.02</v>
      </c>
      <c r="E10" s="9">
        <f t="shared" si="1"/>
        <v>-23.9</v>
      </c>
      <c r="F10" s="9">
        <f t="shared" si="2"/>
        <v>-5736.478</v>
      </c>
    </row>
    <row r="11">
      <c r="A11" s="7">
        <v>45912.0</v>
      </c>
      <c r="B11" s="9">
        <v>31.2</v>
      </c>
      <c r="C11" s="9">
        <v>-1.8</v>
      </c>
      <c r="D11" s="9">
        <v>240.78</v>
      </c>
      <c r="E11" s="9">
        <f t="shared" si="1"/>
        <v>29.4</v>
      </c>
      <c r="F11" s="9">
        <f t="shared" si="2"/>
        <v>7078.932</v>
      </c>
    </row>
    <row r="12">
      <c r="A12" s="7">
        <v>45915.0</v>
      </c>
      <c r="B12" s="9">
        <v>-9.4</v>
      </c>
      <c r="C12" s="9">
        <v>-0.2</v>
      </c>
      <c r="D12" s="9">
        <v>248.66</v>
      </c>
      <c r="E12" s="9">
        <f t="shared" si="1"/>
        <v>-9.6</v>
      </c>
      <c r="F12" s="9">
        <f t="shared" si="2"/>
        <v>-2387.136</v>
      </c>
    </row>
    <row r="13">
      <c r="A13" s="7">
        <v>45916.0</v>
      </c>
      <c r="B13" s="9">
        <v>24.0</v>
      </c>
      <c r="C13" s="9">
        <v>-1.0</v>
      </c>
      <c r="D13" s="9">
        <v>251.67</v>
      </c>
      <c r="E13" s="9">
        <f t="shared" si="1"/>
        <v>23</v>
      </c>
      <c r="F13" s="9">
        <f t="shared" si="2"/>
        <v>5788.41</v>
      </c>
    </row>
    <row r="14">
      <c r="A14" s="7">
        <v>45917.0</v>
      </c>
      <c r="B14" s="9">
        <v>-6.8</v>
      </c>
      <c r="C14" s="9">
        <v>-0.9</v>
      </c>
      <c r="D14" s="9">
        <v>249.96</v>
      </c>
      <c r="E14" s="9">
        <f t="shared" si="1"/>
        <v>-7.7</v>
      </c>
      <c r="F14" s="9">
        <f t="shared" si="2"/>
        <v>-1924.692</v>
      </c>
    </row>
    <row r="15">
      <c r="A15" s="7">
        <v>45918.0</v>
      </c>
      <c r="B15" s="9">
        <v>-6.8</v>
      </c>
      <c r="C15" s="9">
        <v>-1.0</v>
      </c>
      <c r="D15" s="9">
        <v>252.11</v>
      </c>
      <c r="E15" s="9">
        <f t="shared" si="1"/>
        <v>-7.8</v>
      </c>
      <c r="F15" s="9">
        <f t="shared" si="2"/>
        <v>-1966.458</v>
      </c>
    </row>
    <row r="16">
      <c r="A16" s="7">
        <v>45919.0</v>
      </c>
      <c r="B16" s="9">
        <v>0.0</v>
      </c>
      <c r="C16" s="9">
        <v>1.9</v>
      </c>
      <c r="D16" s="9">
        <v>254.35</v>
      </c>
      <c r="E16" s="9">
        <f t="shared" si="1"/>
        <v>1.9</v>
      </c>
      <c r="F16" s="9">
        <f t="shared" si="2"/>
        <v>483.265</v>
      </c>
    </row>
    <row r="17">
      <c r="A17" s="7">
        <v>45922.0</v>
      </c>
      <c r="B17" s="9">
        <v>0.0</v>
      </c>
      <c r="C17" s="9">
        <v>-1.0</v>
      </c>
      <c r="D17" s="9">
        <v>253.7</v>
      </c>
      <c r="E17" s="9">
        <f t="shared" si="1"/>
        <v>-1</v>
      </c>
      <c r="F17" s="9">
        <f t="shared" si="2"/>
        <v>-253.7</v>
      </c>
    </row>
    <row r="18">
      <c r="A18" s="7">
        <v>45923.0</v>
      </c>
      <c r="B18" s="9">
        <v>0.0</v>
      </c>
      <c r="C18" s="9">
        <v>-1.9</v>
      </c>
      <c r="D18" s="9">
        <v>252.96</v>
      </c>
      <c r="E18" s="9">
        <f t="shared" si="1"/>
        <v>-1.9</v>
      </c>
      <c r="F18" s="9">
        <f t="shared" si="2"/>
        <v>-480.624</v>
      </c>
    </row>
    <row r="19">
      <c r="A19" s="7">
        <v>45924.0</v>
      </c>
      <c r="B19" s="9">
        <v>0.0</v>
      </c>
      <c r="C19" s="9">
        <v>-4.3</v>
      </c>
      <c r="D19" s="9">
        <v>250.04</v>
      </c>
      <c r="E19" s="9">
        <f t="shared" si="1"/>
        <v>-4.3</v>
      </c>
      <c r="F19" s="9">
        <f t="shared" si="2"/>
        <v>-1075.172</v>
      </c>
    </row>
    <row r="20">
      <c r="A20" s="7">
        <v>45925.0</v>
      </c>
      <c r="B20" s="9">
        <v>-36.0</v>
      </c>
      <c r="C20" s="9">
        <v>-1.0</v>
      </c>
      <c r="D20" s="9">
        <v>254.09</v>
      </c>
      <c r="E20" s="9">
        <f t="shared" si="1"/>
        <v>-37</v>
      </c>
      <c r="F20" s="9">
        <f t="shared" si="2"/>
        <v>-9401.33</v>
      </c>
    </row>
    <row r="21">
      <c r="A21" s="7">
        <v>45926.0</v>
      </c>
      <c r="B21" s="9">
        <v>-6.4</v>
      </c>
      <c r="C21" s="9">
        <v>5.7</v>
      </c>
      <c r="D21" s="9">
        <v>247.93</v>
      </c>
      <c r="E21" s="9">
        <f t="shared" si="1"/>
        <v>-0.7</v>
      </c>
      <c r="F21" s="9">
        <f t="shared" si="2"/>
        <v>-173.551</v>
      </c>
    </row>
    <row r="22">
      <c r="A22" s="7">
        <v>45929.0</v>
      </c>
      <c r="B22" s="9">
        <v>0.0</v>
      </c>
      <c r="C22" s="9">
        <v>-1.4</v>
      </c>
      <c r="D22" s="9">
        <v>246.87</v>
      </c>
      <c r="E22" s="9">
        <f t="shared" si="1"/>
        <v>-1.4</v>
      </c>
      <c r="F22" s="9">
        <f t="shared" si="2"/>
        <v>-345.618</v>
      </c>
    </row>
    <row r="23">
      <c r="A23" s="7">
        <v>45930.0</v>
      </c>
      <c r="B23" s="9">
        <v>0.0</v>
      </c>
      <c r="C23" s="9">
        <v>-0.8</v>
      </c>
      <c r="D23" s="76">
        <v>242.46</v>
      </c>
      <c r="E23" s="9">
        <f t="shared" si="1"/>
        <v>-0.8</v>
      </c>
      <c r="F23" s="9">
        <f t="shared" si="2"/>
        <v>-193.968</v>
      </c>
      <c r="G23" s="154"/>
    </row>
    <row r="24">
      <c r="A24" s="7">
        <v>45931.0</v>
      </c>
      <c r="B24" s="9">
        <v>0.0</v>
      </c>
      <c r="C24" s="9">
        <v>0.0</v>
      </c>
      <c r="D24" s="76">
        <v>243.27</v>
      </c>
      <c r="E24" s="9">
        <f t="shared" si="1"/>
        <v>0</v>
      </c>
      <c r="F24" s="9">
        <f t="shared" si="2"/>
        <v>0</v>
      </c>
      <c r="G24" s="154"/>
    </row>
    <row r="25">
      <c r="A25" s="7">
        <v>45932.0</v>
      </c>
      <c r="B25" s="9">
        <v>0.0</v>
      </c>
      <c r="C25" s="9">
        <v>0.0</v>
      </c>
      <c r="D25" s="76">
        <v>245.7</v>
      </c>
      <c r="E25" s="9">
        <f t="shared" si="1"/>
        <v>0</v>
      </c>
      <c r="F25" s="9">
        <f t="shared" si="2"/>
        <v>0</v>
      </c>
      <c r="G25" s="154"/>
    </row>
    <row r="26">
      <c r="A26" s="7">
        <v>45933.0</v>
      </c>
      <c r="B26" s="9">
        <v>0.0</v>
      </c>
      <c r="C26" s="9">
        <v>8.0</v>
      </c>
      <c r="D26" s="76">
        <v>245.43</v>
      </c>
      <c r="E26" s="9">
        <f t="shared" si="1"/>
        <v>8</v>
      </c>
      <c r="F26" s="9">
        <f t="shared" si="2"/>
        <v>1963.44</v>
      </c>
      <c r="G26" s="154"/>
    </row>
    <row r="27">
      <c r="A27" s="7">
        <v>45936.0</v>
      </c>
      <c r="B27" s="9">
        <v>0.0</v>
      </c>
      <c r="C27" s="9">
        <v>0.0</v>
      </c>
      <c r="D27" s="76">
        <v>248.8</v>
      </c>
      <c r="E27" s="9">
        <f t="shared" si="1"/>
        <v>0</v>
      </c>
      <c r="F27" s="76">
        <v>0.0</v>
      </c>
      <c r="G27" s="154"/>
    </row>
    <row r="28">
      <c r="A28" s="7">
        <v>45937.0</v>
      </c>
      <c r="B28" s="9">
        <v>-10.0</v>
      </c>
      <c r="C28" s="9">
        <v>0.0</v>
      </c>
      <c r="D28" s="76">
        <v>248.61</v>
      </c>
      <c r="E28" s="9">
        <f t="shared" si="1"/>
        <v>-10</v>
      </c>
      <c r="F28" s="154">
        <f t="shared" ref="F28:F57" si="3">E28*D28</f>
        <v>-2486.1</v>
      </c>
      <c r="G28" s="154"/>
    </row>
    <row r="29">
      <c r="A29" s="7">
        <v>45938.0</v>
      </c>
      <c r="B29" s="9">
        <v>25.8</v>
      </c>
      <c r="C29" s="9">
        <v>0.0</v>
      </c>
      <c r="D29" s="76">
        <v>246.0</v>
      </c>
      <c r="E29" s="9">
        <f t="shared" si="1"/>
        <v>25.8</v>
      </c>
      <c r="F29" s="154">
        <f t="shared" si="3"/>
        <v>6346.8</v>
      </c>
      <c r="G29" s="154"/>
    </row>
    <row r="30">
      <c r="A30" s="7">
        <v>45939.0</v>
      </c>
      <c r="B30" s="9">
        <v>-6.4</v>
      </c>
      <c r="C30" s="9">
        <v>0.0</v>
      </c>
      <c r="D30" s="76">
        <v>243.13</v>
      </c>
      <c r="E30" s="9">
        <f t="shared" si="1"/>
        <v>-6.4</v>
      </c>
      <c r="F30" s="154">
        <f t="shared" si="3"/>
        <v>-1556.032</v>
      </c>
      <c r="G30" s="154"/>
    </row>
    <row r="31">
      <c r="A31" s="7">
        <v>45940.0</v>
      </c>
      <c r="B31" s="9">
        <v>18.6</v>
      </c>
      <c r="C31" s="9">
        <v>3.6</v>
      </c>
      <c r="D31" s="76">
        <v>240.29</v>
      </c>
      <c r="E31" s="9">
        <f t="shared" si="1"/>
        <v>22.2</v>
      </c>
      <c r="F31" s="154">
        <f t="shared" si="3"/>
        <v>5334.438</v>
      </c>
      <c r="G31" s="154"/>
    </row>
    <row r="32">
      <c r="A32" s="7">
        <v>45943.0</v>
      </c>
      <c r="B32" s="9">
        <v>-41.6</v>
      </c>
      <c r="C32" s="9">
        <v>0.0</v>
      </c>
      <c r="D32" s="76">
        <v>242.85</v>
      </c>
      <c r="E32" s="154">
        <f t="shared" si="1"/>
        <v>-41.6</v>
      </c>
      <c r="F32" s="154">
        <f t="shared" si="3"/>
        <v>-10102.56</v>
      </c>
      <c r="G32" s="154"/>
      <c r="H32" s="132"/>
      <c r="I32" s="78"/>
      <c r="J32" s="78"/>
      <c r="L32" s="132"/>
      <c r="M32" s="78"/>
      <c r="N32" s="78"/>
    </row>
    <row r="33">
      <c r="A33" s="7">
        <v>45944.0</v>
      </c>
      <c r="B33" s="9">
        <v>-9.6</v>
      </c>
      <c r="C33" s="9">
        <v>0.0</v>
      </c>
      <c r="D33" s="9">
        <v>250.2</v>
      </c>
      <c r="E33" s="154">
        <f t="shared" si="1"/>
        <v>-9.6</v>
      </c>
      <c r="F33" s="154">
        <f t="shared" si="3"/>
        <v>-2401.92</v>
      </c>
      <c r="H33" s="133"/>
      <c r="I33" s="45"/>
      <c r="J33" s="45"/>
      <c r="L33" s="78"/>
      <c r="M33" s="115"/>
      <c r="N33" s="150"/>
    </row>
    <row r="34">
      <c r="A34" s="7">
        <v>45945.0</v>
      </c>
      <c r="B34" s="9">
        <v>-3.2</v>
      </c>
      <c r="C34" s="9">
        <v>0.0</v>
      </c>
      <c r="D34" s="9">
        <v>250.42</v>
      </c>
      <c r="E34" s="154">
        <f t="shared" si="1"/>
        <v>-3.2</v>
      </c>
      <c r="F34" s="154">
        <f t="shared" si="3"/>
        <v>-801.344</v>
      </c>
      <c r="H34" s="134"/>
      <c r="I34" s="18"/>
      <c r="J34" s="18"/>
      <c r="L34" s="145"/>
      <c r="M34" s="81"/>
      <c r="N34" s="81"/>
    </row>
    <row r="35">
      <c r="A35" s="7">
        <v>45946.0</v>
      </c>
      <c r="B35" s="9">
        <v>-6.8</v>
      </c>
      <c r="C35" s="9">
        <v>0.7</v>
      </c>
      <c r="D35" s="9">
        <v>253.38</v>
      </c>
      <c r="E35" s="154">
        <f t="shared" si="1"/>
        <v>-6.1</v>
      </c>
      <c r="F35" s="154">
        <f t="shared" si="3"/>
        <v>-1545.618</v>
      </c>
      <c r="H35" s="133"/>
      <c r="I35" s="45"/>
      <c r="J35" s="86"/>
      <c r="L35" s="78"/>
      <c r="M35" s="115"/>
      <c r="N35" s="83"/>
    </row>
    <row r="36">
      <c r="A36" s="7">
        <v>45947.0</v>
      </c>
      <c r="B36" s="9">
        <v>3.4</v>
      </c>
      <c r="C36" s="9">
        <v>0.0</v>
      </c>
      <c r="D36" s="9">
        <v>252.42</v>
      </c>
      <c r="E36" s="154">
        <f t="shared" si="1"/>
        <v>3.4</v>
      </c>
      <c r="F36" s="154">
        <f t="shared" si="3"/>
        <v>858.228</v>
      </c>
      <c r="H36" s="134"/>
      <c r="I36" s="18"/>
      <c r="J36" s="86"/>
      <c r="L36" s="145"/>
      <c r="M36" s="81"/>
      <c r="N36" s="81"/>
    </row>
    <row r="37">
      <c r="A37" s="7">
        <v>45950.0</v>
      </c>
      <c r="B37" s="9">
        <v>-13.6</v>
      </c>
      <c r="C37" s="9">
        <v>-0.6</v>
      </c>
      <c r="D37" s="9">
        <v>256.5</v>
      </c>
      <c r="E37" s="154">
        <f t="shared" si="1"/>
        <v>-14.2</v>
      </c>
      <c r="F37" s="154">
        <f t="shared" si="3"/>
        <v>-3642.3</v>
      </c>
      <c r="H37" s="133"/>
      <c r="I37" s="45"/>
      <c r="J37" s="86"/>
      <c r="L37" s="78"/>
      <c r="M37" s="115"/>
      <c r="N37" s="80"/>
    </row>
    <row r="38">
      <c r="A38" s="7">
        <v>45951.0</v>
      </c>
      <c r="B38" s="9">
        <v>21.0</v>
      </c>
      <c r="C38" s="9">
        <v>0.0</v>
      </c>
      <c r="D38" s="9">
        <v>250.46</v>
      </c>
      <c r="E38" s="154">
        <f t="shared" si="1"/>
        <v>21</v>
      </c>
      <c r="F38" s="154">
        <f t="shared" si="3"/>
        <v>5259.66</v>
      </c>
      <c r="H38" s="134"/>
      <c r="I38" s="18"/>
      <c r="J38" s="86"/>
    </row>
    <row r="39">
      <c r="A39" s="7">
        <v>45952.0</v>
      </c>
      <c r="B39" s="9">
        <v>10.0</v>
      </c>
      <c r="C39" s="9">
        <v>0.0</v>
      </c>
      <c r="D39" s="9">
        <v>253.39</v>
      </c>
      <c r="E39" s="154">
        <f t="shared" si="1"/>
        <v>10</v>
      </c>
      <c r="F39" s="154">
        <f t="shared" si="3"/>
        <v>2533.9</v>
      </c>
      <c r="H39" s="134"/>
      <c r="I39" s="18"/>
      <c r="J39" s="86"/>
    </row>
    <row r="40">
      <c r="A40" s="7">
        <v>45953.0</v>
      </c>
      <c r="B40" s="9">
        <v>6.8</v>
      </c>
      <c r="C40" s="9">
        <v>0.0</v>
      </c>
      <c r="D40" s="9">
        <v>254.12</v>
      </c>
      <c r="E40" s="154">
        <f t="shared" si="1"/>
        <v>6.8</v>
      </c>
      <c r="F40" s="154">
        <f t="shared" si="3"/>
        <v>1728.016</v>
      </c>
      <c r="H40" s="134"/>
      <c r="I40" s="18"/>
      <c r="J40" s="86"/>
    </row>
    <row r="41">
      <c r="A41" s="7">
        <v>45954.0</v>
      </c>
      <c r="B41" s="9">
        <v>34.0</v>
      </c>
      <c r="C41" s="9">
        <v>2.4</v>
      </c>
      <c r="D41" s="9">
        <v>259.71</v>
      </c>
      <c r="E41" s="154">
        <f t="shared" si="1"/>
        <v>36.4</v>
      </c>
      <c r="F41" s="154">
        <f t="shared" si="3"/>
        <v>9453.444</v>
      </c>
      <c r="H41" s="134"/>
      <c r="I41" s="18"/>
      <c r="J41" s="86"/>
    </row>
    <row r="42">
      <c r="A42" s="7">
        <v>45957.0</v>
      </c>
      <c r="B42" s="9">
        <v>0.0</v>
      </c>
      <c r="C42" s="9">
        <v>0.0</v>
      </c>
      <c r="D42" s="9">
        <v>267.97</v>
      </c>
      <c r="E42" s="154">
        <f t="shared" si="1"/>
        <v>0</v>
      </c>
      <c r="F42" s="154">
        <f t="shared" si="3"/>
        <v>0</v>
      </c>
      <c r="H42" s="134"/>
      <c r="I42" s="18"/>
      <c r="J42" s="86"/>
    </row>
    <row r="43">
      <c r="A43" s="7">
        <v>45958.0</v>
      </c>
      <c r="B43" s="9">
        <v>15.4</v>
      </c>
      <c r="C43" s="9">
        <v>2.0</v>
      </c>
      <c r="D43" s="9">
        <v>269.0</v>
      </c>
      <c r="E43" s="154">
        <f t="shared" si="1"/>
        <v>17.4</v>
      </c>
      <c r="F43" s="154">
        <f t="shared" si="3"/>
        <v>4680.6</v>
      </c>
      <c r="H43" s="134"/>
      <c r="I43" s="18"/>
      <c r="J43" s="86"/>
    </row>
    <row r="44">
      <c r="A44" s="7">
        <v>45959.0</v>
      </c>
      <c r="B44" s="9">
        <v>0.0</v>
      </c>
      <c r="C44" s="9">
        <v>0.0</v>
      </c>
      <c r="D44" s="9">
        <v>273.19</v>
      </c>
      <c r="E44" s="154">
        <f t="shared" si="1"/>
        <v>0</v>
      </c>
      <c r="F44" s="154">
        <f t="shared" si="3"/>
        <v>0</v>
      </c>
      <c r="H44" s="134"/>
      <c r="I44" s="18"/>
      <c r="J44" s="86"/>
    </row>
    <row r="45">
      <c r="A45" s="7">
        <v>45960.0</v>
      </c>
      <c r="B45" s="9">
        <v>226.6</v>
      </c>
      <c r="C45" s="9">
        <v>2.0</v>
      </c>
      <c r="D45" s="9">
        <v>284.76</v>
      </c>
      <c r="E45" s="154">
        <f t="shared" si="1"/>
        <v>228.6</v>
      </c>
      <c r="F45" s="154">
        <f t="shared" si="3"/>
        <v>65096.136</v>
      </c>
      <c r="H45" s="134"/>
      <c r="I45" s="18"/>
      <c r="J45" s="86"/>
    </row>
    <row r="46">
      <c r="A46" s="7">
        <v>45961.0</v>
      </c>
      <c r="B46" s="9">
        <v>-20.8</v>
      </c>
      <c r="C46" s="9">
        <v>-5.2</v>
      </c>
      <c r="D46" s="9">
        <v>281.88</v>
      </c>
      <c r="E46" s="154">
        <f t="shared" si="1"/>
        <v>-26</v>
      </c>
      <c r="F46" s="154">
        <f t="shared" si="3"/>
        <v>-7328.88</v>
      </c>
      <c r="H46" s="136"/>
      <c r="I46" s="91"/>
      <c r="J46" s="90"/>
    </row>
    <row r="47">
      <c r="A47" s="7">
        <v>45964.0</v>
      </c>
      <c r="B47" s="9">
        <v>-16.6</v>
      </c>
      <c r="C47" s="9">
        <v>0.0</v>
      </c>
      <c r="D47" s="9">
        <v>283.48</v>
      </c>
      <c r="E47" s="154">
        <f t="shared" si="1"/>
        <v>-16.6</v>
      </c>
      <c r="F47" s="154">
        <f t="shared" si="3"/>
        <v>-4705.768</v>
      </c>
      <c r="H47" s="91"/>
      <c r="I47" s="121"/>
      <c r="J47" s="93"/>
    </row>
    <row r="48">
      <c r="A48" s="7">
        <v>45965.0</v>
      </c>
      <c r="B48" s="9">
        <v>-8.4</v>
      </c>
      <c r="C48" s="9">
        <v>0.0</v>
      </c>
      <c r="D48" s="9">
        <v>278.92</v>
      </c>
      <c r="E48" s="154">
        <f t="shared" si="1"/>
        <v>-8.4</v>
      </c>
      <c r="F48" s="154">
        <f t="shared" si="3"/>
        <v>-2342.928</v>
      </c>
      <c r="H48" s="94"/>
      <c r="I48" s="94"/>
      <c r="J48" s="96"/>
    </row>
    <row r="49">
      <c r="A49" s="7">
        <v>45966.0</v>
      </c>
      <c r="B49" s="9">
        <v>-24.4</v>
      </c>
      <c r="C49" s="9">
        <v>0.0</v>
      </c>
      <c r="D49" s="9">
        <v>283.11</v>
      </c>
      <c r="E49" s="154">
        <f t="shared" si="1"/>
        <v>-24.4</v>
      </c>
      <c r="F49" s="154">
        <f t="shared" si="3"/>
        <v>-6907.884</v>
      </c>
      <c r="H49" s="91"/>
      <c r="I49" s="121"/>
      <c r="J49" s="93"/>
    </row>
    <row r="50">
      <c r="A50" s="7">
        <v>45967.0</v>
      </c>
      <c r="B50" s="14">
        <f>-14.9*2</f>
        <v>-29.8</v>
      </c>
      <c r="C50" s="9">
        <v>-0.4</v>
      </c>
      <c r="D50" s="9">
        <v>285.26</v>
      </c>
      <c r="E50" s="154">
        <f t="shared" si="1"/>
        <v>-30.2</v>
      </c>
      <c r="F50" s="154">
        <f t="shared" si="3"/>
        <v>-8614.852</v>
      </c>
      <c r="H50" s="94"/>
      <c r="I50" s="94"/>
      <c r="J50" s="96"/>
    </row>
    <row r="51">
      <c r="A51" s="7">
        <v>45968.0</v>
      </c>
      <c r="B51" s="9">
        <v>-12.8</v>
      </c>
      <c r="C51" s="9">
        <v>1.0</v>
      </c>
      <c r="D51" s="9">
        <v>279.98</v>
      </c>
      <c r="E51" s="154">
        <f t="shared" si="1"/>
        <v>-11.8</v>
      </c>
      <c r="F51" s="154">
        <f t="shared" si="3"/>
        <v>-3303.764</v>
      </c>
      <c r="H51" s="136"/>
      <c r="I51" s="91"/>
      <c r="J51" s="90"/>
      <c r="L51" s="137" t="s">
        <v>205</v>
      </c>
      <c r="M51" s="33" t="s">
        <v>65</v>
      </c>
      <c r="N51" s="33" t="s">
        <v>66</v>
      </c>
    </row>
    <row r="52">
      <c r="A52" s="7">
        <v>45971.0</v>
      </c>
      <c r="B52" s="9">
        <v>-24.4</v>
      </c>
      <c r="C52" s="9">
        <v>-0.2</v>
      </c>
      <c r="D52" s="9">
        <v>288.53</v>
      </c>
      <c r="E52" s="154">
        <f t="shared" si="1"/>
        <v>-24.6</v>
      </c>
      <c r="F52" s="154">
        <f t="shared" si="3"/>
        <v>-7097.838</v>
      </c>
      <c r="H52" s="137" t="s">
        <v>205</v>
      </c>
      <c r="I52" s="33" t="s">
        <v>65</v>
      </c>
      <c r="J52" s="98" t="s">
        <v>66</v>
      </c>
      <c r="L52" s="33" t="s">
        <v>145</v>
      </c>
      <c r="M52" s="131">
        <v>12.1</v>
      </c>
      <c r="N52" s="138">
        <v>288.12</v>
      </c>
    </row>
    <row r="53">
      <c r="A53" s="7">
        <v>45972.0</v>
      </c>
      <c r="B53" s="9">
        <v>-4.4</v>
      </c>
      <c r="C53" s="9">
        <v>0.0</v>
      </c>
      <c r="D53" s="9">
        <v>290.65</v>
      </c>
      <c r="E53" s="154">
        <f t="shared" si="1"/>
        <v>-4.4</v>
      </c>
      <c r="F53" s="154">
        <f t="shared" si="3"/>
        <v>-1278.86</v>
      </c>
      <c r="H53" s="33" t="s">
        <v>145</v>
      </c>
      <c r="I53" s="139">
        <f>E57</f>
        <v>12.1</v>
      </c>
      <c r="J53" s="100">
        <f>D57</f>
        <v>288.12</v>
      </c>
      <c r="L53" s="36"/>
      <c r="M53" s="36"/>
      <c r="N53" s="36"/>
    </row>
    <row r="54">
      <c r="A54" s="7">
        <v>45973.0</v>
      </c>
      <c r="B54" s="9">
        <v>4.4</v>
      </c>
      <c r="C54" s="9">
        <v>0.0</v>
      </c>
      <c r="D54" s="9">
        <v>288.06</v>
      </c>
      <c r="E54" s="154">
        <f t="shared" si="1"/>
        <v>4.4</v>
      </c>
      <c r="F54" s="154">
        <f t="shared" si="3"/>
        <v>1267.464</v>
      </c>
      <c r="H54" s="36"/>
      <c r="I54" s="36"/>
      <c r="J54" s="54"/>
      <c r="L54" s="33" t="s">
        <v>68</v>
      </c>
      <c r="M54" s="126">
        <v>-34.9</v>
      </c>
      <c r="N54" s="103">
        <v>276.77</v>
      </c>
    </row>
    <row r="55">
      <c r="A55" s="7">
        <v>45974.0</v>
      </c>
      <c r="B55" s="14">
        <f>-19.4*2</f>
        <v>-38.8</v>
      </c>
      <c r="C55" s="9">
        <v>0.0</v>
      </c>
      <c r="D55" s="9">
        <v>280.21</v>
      </c>
      <c r="E55" s="154">
        <f t="shared" si="1"/>
        <v>-38.8</v>
      </c>
      <c r="F55" s="154">
        <f t="shared" si="3"/>
        <v>-10872.148</v>
      </c>
      <c r="H55" s="33" t="s">
        <v>68</v>
      </c>
      <c r="I55" s="139">
        <f>SUM(E53:E57)</f>
        <v>-34.9</v>
      </c>
      <c r="J55" s="100">
        <f>SUM(F53:F57)/I55</f>
        <v>276.7696848</v>
      </c>
      <c r="L55" s="36"/>
      <c r="M55" s="36"/>
      <c r="N55" s="36"/>
    </row>
    <row r="56">
      <c r="A56" s="7">
        <v>45975.0</v>
      </c>
      <c r="B56" s="9">
        <v>-8.2</v>
      </c>
      <c r="C56" s="9">
        <v>0.0</v>
      </c>
      <c r="D56" s="9">
        <v>275.85</v>
      </c>
      <c r="E56" s="154">
        <f t="shared" si="1"/>
        <v>-8.2</v>
      </c>
      <c r="F56" s="154">
        <f t="shared" si="3"/>
        <v>-2261.97</v>
      </c>
      <c r="H56" s="36"/>
      <c r="I56" s="36"/>
      <c r="J56" s="54"/>
      <c r="L56" s="33" t="s">
        <v>69</v>
      </c>
      <c r="M56" s="131">
        <v>143.3</v>
      </c>
      <c r="N56" s="103">
        <v>270.69</v>
      </c>
    </row>
    <row r="57">
      <c r="A57" s="7">
        <v>45978.0</v>
      </c>
      <c r="B57" s="9">
        <v>12.7</v>
      </c>
      <c r="C57" s="9">
        <v>-0.6</v>
      </c>
      <c r="D57" s="9">
        <v>288.12</v>
      </c>
      <c r="E57" s="154">
        <f t="shared" si="1"/>
        <v>12.1</v>
      </c>
      <c r="F57" s="154">
        <f t="shared" si="3"/>
        <v>3486.252</v>
      </c>
      <c r="H57" s="33" t="s">
        <v>69</v>
      </c>
      <c r="I57" s="139">
        <f>SUM(E38:E57)</f>
        <v>143.3</v>
      </c>
      <c r="J57" s="100">
        <f>SUM(F38:F57)/I57</f>
        <v>270.6949058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206</v>
      </c>
      <c r="C1" s="9" t="s">
        <v>207</v>
      </c>
      <c r="D1" s="9" t="s">
        <v>208</v>
      </c>
      <c r="E1" s="9" t="s">
        <v>151</v>
      </c>
      <c r="F1" s="9" t="s">
        <v>3</v>
      </c>
    </row>
    <row r="2">
      <c r="A2" s="75">
        <v>45898.0</v>
      </c>
      <c r="B2" s="9">
        <v>-4.4</v>
      </c>
      <c r="C2" s="9">
        <v>-2.2</v>
      </c>
      <c r="D2" s="9">
        <v>0.0</v>
      </c>
      <c r="E2" s="9">
        <v>0.0</v>
      </c>
      <c r="F2" s="9">
        <v>0.0</v>
      </c>
    </row>
    <row r="3">
      <c r="A3" s="7">
        <v>45902.0</v>
      </c>
      <c r="B3" s="9">
        <v>0.0</v>
      </c>
      <c r="C3" s="9">
        <v>0.0</v>
      </c>
      <c r="D3" s="9">
        <v>0.0</v>
      </c>
      <c r="E3" s="9">
        <v>0.0</v>
      </c>
      <c r="F3" s="9">
        <v>0.0</v>
      </c>
    </row>
    <row r="4">
      <c r="A4" s="7">
        <v>45903.0</v>
      </c>
      <c r="B4" s="9">
        <v>0.0</v>
      </c>
      <c r="C4" s="9">
        <v>0.0</v>
      </c>
      <c r="D4" s="9">
        <v>0.0</v>
      </c>
      <c r="E4" s="9">
        <v>0.0</v>
      </c>
      <c r="F4" s="9">
        <v>0.0</v>
      </c>
    </row>
    <row r="5">
      <c r="A5" s="7">
        <v>45904.0</v>
      </c>
      <c r="B5" s="9">
        <v>0.0</v>
      </c>
      <c r="C5" s="9">
        <v>0.0</v>
      </c>
      <c r="D5" s="9">
        <v>0.0</v>
      </c>
      <c r="E5" s="9">
        <v>0.0</v>
      </c>
      <c r="F5" s="9">
        <v>0.0</v>
      </c>
    </row>
    <row r="6">
      <c r="A6" s="7">
        <v>45905.0</v>
      </c>
      <c r="B6" s="9">
        <v>-1.1</v>
      </c>
      <c r="C6" s="9">
        <v>-1.5</v>
      </c>
      <c r="D6" s="9">
        <v>0.0</v>
      </c>
      <c r="E6" s="9">
        <v>0.0</v>
      </c>
      <c r="F6" s="9">
        <v>0.0</v>
      </c>
    </row>
    <row r="7">
      <c r="A7" s="7">
        <v>45908.0</v>
      </c>
      <c r="B7" s="9">
        <v>0.0</v>
      </c>
      <c r="C7" s="9">
        <v>0.0</v>
      </c>
      <c r="D7" s="9">
        <v>196.31</v>
      </c>
      <c r="E7" s="9">
        <f t="shared" ref="E7:E57" si="1">SUM(B7:C7)</f>
        <v>0</v>
      </c>
      <c r="F7" s="9">
        <f t="shared" ref="F7:F26" si="2">E7*D7</f>
        <v>0</v>
      </c>
    </row>
    <row r="8">
      <c r="A8" s="7">
        <v>45909.0</v>
      </c>
      <c r="B8" s="9">
        <v>0.0</v>
      </c>
      <c r="C8" s="9">
        <v>0.0</v>
      </c>
      <c r="D8" s="9">
        <v>197.29</v>
      </c>
      <c r="E8" s="9">
        <f t="shared" si="1"/>
        <v>0</v>
      </c>
      <c r="F8" s="9">
        <f t="shared" si="2"/>
        <v>0</v>
      </c>
    </row>
    <row r="9">
      <c r="A9" s="7">
        <v>45910.0</v>
      </c>
      <c r="B9" s="9">
        <v>0.0</v>
      </c>
      <c r="C9" s="9">
        <v>0.0</v>
      </c>
      <c r="D9" s="9">
        <v>198.4</v>
      </c>
      <c r="E9" s="9">
        <f t="shared" si="1"/>
        <v>0</v>
      </c>
      <c r="F9" s="9">
        <f t="shared" si="2"/>
        <v>0</v>
      </c>
    </row>
    <row r="10">
      <c r="A10" s="7">
        <v>45911.0</v>
      </c>
      <c r="B10" s="9">
        <v>0.0</v>
      </c>
      <c r="C10" s="9">
        <v>0.0</v>
      </c>
      <c r="D10" s="9">
        <v>198.71</v>
      </c>
      <c r="E10" s="9">
        <f t="shared" si="1"/>
        <v>0</v>
      </c>
      <c r="F10" s="9">
        <f t="shared" si="2"/>
        <v>0</v>
      </c>
    </row>
    <row r="11">
      <c r="A11" s="7">
        <v>45912.0</v>
      </c>
      <c r="B11" s="9">
        <v>0.0</v>
      </c>
      <c r="C11" s="9">
        <v>0.0</v>
      </c>
      <c r="D11" s="9">
        <v>197.4</v>
      </c>
      <c r="E11" s="9">
        <f t="shared" si="1"/>
        <v>0</v>
      </c>
      <c r="F11" s="9">
        <f t="shared" si="2"/>
        <v>0</v>
      </c>
    </row>
    <row r="12">
      <c r="A12" s="7">
        <v>45915.0</v>
      </c>
      <c r="B12" s="9">
        <v>0.0</v>
      </c>
      <c r="C12" s="9">
        <v>0.0</v>
      </c>
      <c r="D12" s="9">
        <v>199.7</v>
      </c>
      <c r="E12" s="9">
        <f t="shared" si="1"/>
        <v>0</v>
      </c>
      <c r="F12" s="9">
        <f t="shared" si="2"/>
        <v>0</v>
      </c>
    </row>
    <row r="13">
      <c r="A13" s="7">
        <v>45916.0</v>
      </c>
      <c r="B13" s="9">
        <v>-3.6</v>
      </c>
      <c r="C13" s="9">
        <v>0.0</v>
      </c>
      <c r="D13" s="9">
        <v>200.93</v>
      </c>
      <c r="E13" s="9">
        <f t="shared" si="1"/>
        <v>-3.6</v>
      </c>
      <c r="F13" s="9">
        <f t="shared" si="2"/>
        <v>-723.348</v>
      </c>
    </row>
    <row r="14">
      <c r="A14" s="7">
        <v>45917.0</v>
      </c>
      <c r="B14" s="9">
        <v>0.0</v>
      </c>
      <c r="C14" s="9">
        <v>0.0</v>
      </c>
      <c r="D14" s="9">
        <v>202.74</v>
      </c>
      <c r="E14" s="9">
        <f t="shared" si="1"/>
        <v>0</v>
      </c>
      <c r="F14" s="9">
        <f t="shared" si="2"/>
        <v>0</v>
      </c>
    </row>
    <row r="15">
      <c r="A15" s="7">
        <v>45918.0</v>
      </c>
      <c r="B15" s="9">
        <v>0.0</v>
      </c>
      <c r="C15" s="9">
        <v>0.0</v>
      </c>
      <c r="D15" s="9">
        <v>205.39</v>
      </c>
      <c r="E15" s="9">
        <f t="shared" si="1"/>
        <v>0</v>
      </c>
      <c r="F15" s="9">
        <f t="shared" si="2"/>
        <v>0</v>
      </c>
    </row>
    <row r="16">
      <c r="A16" s="7">
        <v>45919.0</v>
      </c>
      <c r="B16" s="9">
        <v>-1.3</v>
      </c>
      <c r="C16" s="9">
        <v>-4.6</v>
      </c>
      <c r="D16" s="9">
        <v>207.28</v>
      </c>
      <c r="E16" s="9">
        <f t="shared" si="1"/>
        <v>-5.9</v>
      </c>
      <c r="F16" s="9">
        <f t="shared" si="2"/>
        <v>-1222.952</v>
      </c>
    </row>
    <row r="17">
      <c r="A17" s="7">
        <v>45922.0</v>
      </c>
      <c r="B17" s="9">
        <v>0.0</v>
      </c>
      <c r="C17" s="9">
        <v>0.0</v>
      </c>
      <c r="D17" s="9">
        <v>207.56</v>
      </c>
      <c r="E17" s="9">
        <f t="shared" si="1"/>
        <v>0</v>
      </c>
      <c r="F17" s="9">
        <f t="shared" si="2"/>
        <v>0</v>
      </c>
    </row>
    <row r="18">
      <c r="A18" s="7">
        <v>45923.0</v>
      </c>
      <c r="B18" s="9">
        <v>0.0</v>
      </c>
      <c r="C18" s="9">
        <v>0.0</v>
      </c>
      <c r="D18" s="9">
        <v>205.29</v>
      </c>
      <c r="E18" s="9">
        <f t="shared" si="1"/>
        <v>0</v>
      </c>
      <c r="F18" s="9">
        <f t="shared" si="2"/>
        <v>0</v>
      </c>
    </row>
    <row r="19">
      <c r="A19" s="7">
        <v>45924.0</v>
      </c>
      <c r="B19" s="9">
        <v>0.0</v>
      </c>
      <c r="C19" s="9">
        <v>0.0</v>
      </c>
      <c r="D19" s="9">
        <v>202.15</v>
      </c>
      <c r="E19" s="9">
        <f t="shared" si="1"/>
        <v>0</v>
      </c>
      <c r="F19" s="9">
        <f t="shared" si="2"/>
        <v>0</v>
      </c>
    </row>
    <row r="20">
      <c r="A20" s="7">
        <v>45925.0</v>
      </c>
      <c r="B20" s="9">
        <v>0.0</v>
      </c>
      <c r="C20" s="9">
        <v>0.0</v>
      </c>
      <c r="D20" s="9">
        <v>200.94</v>
      </c>
      <c r="E20" s="9">
        <f t="shared" si="1"/>
        <v>0</v>
      </c>
      <c r="F20" s="9">
        <f t="shared" si="2"/>
        <v>0</v>
      </c>
    </row>
    <row r="21">
      <c r="A21" s="7">
        <v>45926.0</v>
      </c>
      <c r="B21" s="9">
        <v>0.0</v>
      </c>
      <c r="C21" s="9">
        <v>0.0</v>
      </c>
      <c r="D21" s="9">
        <v>202.0</v>
      </c>
      <c r="E21" s="9">
        <f t="shared" si="1"/>
        <v>0</v>
      </c>
      <c r="F21" s="9">
        <f t="shared" si="2"/>
        <v>0</v>
      </c>
    </row>
    <row r="22">
      <c r="A22" s="7">
        <v>45929.0</v>
      </c>
      <c r="B22" s="9">
        <v>0.0</v>
      </c>
      <c r="C22" s="9">
        <v>0.0</v>
      </c>
      <c r="D22" s="9">
        <v>203.58</v>
      </c>
      <c r="E22" s="9">
        <f t="shared" si="1"/>
        <v>0</v>
      </c>
      <c r="F22" s="9">
        <f t="shared" si="2"/>
        <v>0</v>
      </c>
    </row>
    <row r="23">
      <c r="A23" s="7">
        <v>45930.0</v>
      </c>
      <c r="B23" s="9">
        <v>0.0</v>
      </c>
      <c r="C23" s="9">
        <v>0.0</v>
      </c>
      <c r="D23" s="9">
        <v>203.81</v>
      </c>
      <c r="E23" s="9">
        <f t="shared" si="1"/>
        <v>0</v>
      </c>
      <c r="F23" s="9">
        <f t="shared" si="2"/>
        <v>0</v>
      </c>
    </row>
    <row r="24">
      <c r="A24" s="7">
        <v>45931.0</v>
      </c>
      <c r="B24" s="9">
        <v>0.0</v>
      </c>
      <c r="C24" s="9">
        <v>0.0</v>
      </c>
      <c r="D24" s="9">
        <v>204.26</v>
      </c>
      <c r="E24" s="9">
        <f t="shared" si="1"/>
        <v>0</v>
      </c>
      <c r="F24" s="9">
        <f t="shared" si="2"/>
        <v>0</v>
      </c>
    </row>
    <row r="25">
      <c r="A25" s="7">
        <v>45932.0</v>
      </c>
      <c r="B25" s="9">
        <v>0.0</v>
      </c>
      <c r="C25" s="9">
        <v>0.0</v>
      </c>
      <c r="D25" s="9">
        <v>208.28</v>
      </c>
      <c r="E25" s="9">
        <f t="shared" si="1"/>
        <v>0</v>
      </c>
      <c r="F25" s="9">
        <f t="shared" si="2"/>
        <v>0</v>
      </c>
    </row>
    <row r="26">
      <c r="A26" s="7">
        <v>45933.0</v>
      </c>
      <c r="B26" s="9">
        <v>-2.6</v>
      </c>
      <c r="C26" s="9">
        <v>0.0</v>
      </c>
      <c r="D26" s="9">
        <v>209.07</v>
      </c>
      <c r="E26" s="9">
        <f t="shared" si="1"/>
        <v>-2.6</v>
      </c>
      <c r="F26" s="9">
        <f t="shared" si="2"/>
        <v>-543.582</v>
      </c>
    </row>
    <row r="27">
      <c r="A27" s="7">
        <v>45936.0</v>
      </c>
      <c r="B27" s="9">
        <v>0.0</v>
      </c>
      <c r="C27" s="9">
        <v>0.0</v>
      </c>
      <c r="D27" s="9">
        <v>211.23</v>
      </c>
      <c r="E27" s="9">
        <f t="shared" si="1"/>
        <v>0</v>
      </c>
      <c r="F27" s="9">
        <v>0.0</v>
      </c>
    </row>
    <row r="28">
      <c r="A28" s="7">
        <v>45937.0</v>
      </c>
      <c r="B28" s="9">
        <v>0.0</v>
      </c>
      <c r="C28" s="9">
        <v>0.0</v>
      </c>
      <c r="D28" s="9">
        <v>211.65</v>
      </c>
      <c r="E28" s="9">
        <f t="shared" si="1"/>
        <v>0</v>
      </c>
      <c r="F28" s="9">
        <v>0.0</v>
      </c>
    </row>
    <row r="29">
      <c r="A29" s="7">
        <v>45938.0</v>
      </c>
      <c r="B29" s="9">
        <v>0.0</v>
      </c>
      <c r="C29" s="9">
        <v>0.0</v>
      </c>
      <c r="D29" s="9">
        <v>215.15</v>
      </c>
      <c r="E29" s="9">
        <f t="shared" si="1"/>
        <v>0</v>
      </c>
      <c r="F29" s="9">
        <v>0.0</v>
      </c>
    </row>
    <row r="30">
      <c r="A30" s="7">
        <v>45939.0</v>
      </c>
      <c r="B30" s="9">
        <v>0.0</v>
      </c>
      <c r="C30" s="9">
        <v>0.0</v>
      </c>
      <c r="D30" s="9">
        <v>216.0</v>
      </c>
      <c r="E30" s="9">
        <f t="shared" si="1"/>
        <v>0</v>
      </c>
      <c r="F30" s="14">
        <f t="shared" ref="F30:F57" si="3">E30*D30</f>
        <v>0</v>
      </c>
    </row>
    <row r="31">
      <c r="A31" s="7">
        <v>45940.0</v>
      </c>
      <c r="B31" s="9">
        <v>0.0</v>
      </c>
      <c r="C31" s="9">
        <v>0.0</v>
      </c>
      <c r="D31" s="9">
        <v>212.54</v>
      </c>
      <c r="E31" s="9">
        <f t="shared" si="1"/>
        <v>0</v>
      </c>
      <c r="F31" s="14">
        <f t="shared" si="3"/>
        <v>0</v>
      </c>
    </row>
    <row r="32">
      <c r="A32" s="7">
        <v>45943.0</v>
      </c>
      <c r="B32" s="9">
        <v>0.0</v>
      </c>
      <c r="C32" s="9">
        <v>0.0</v>
      </c>
      <c r="D32" s="9">
        <v>213.28</v>
      </c>
      <c r="E32" s="14">
        <f t="shared" si="1"/>
        <v>0</v>
      </c>
      <c r="F32" s="14">
        <f t="shared" si="3"/>
        <v>0</v>
      </c>
      <c r="H32" s="132"/>
      <c r="I32" s="78"/>
      <c r="J32" s="78"/>
      <c r="L32" s="132"/>
      <c r="M32" s="78"/>
      <c r="N32" s="78"/>
    </row>
    <row r="33">
      <c r="A33" s="7">
        <v>45944.0</v>
      </c>
      <c r="B33" s="9">
        <v>0.0</v>
      </c>
      <c r="C33" s="9">
        <v>0.0</v>
      </c>
      <c r="D33" s="9">
        <v>208.35</v>
      </c>
      <c r="E33" s="14">
        <f t="shared" si="1"/>
        <v>0</v>
      </c>
      <c r="F33" s="14">
        <f t="shared" si="3"/>
        <v>0</v>
      </c>
      <c r="H33" s="133"/>
      <c r="I33" s="45"/>
      <c r="J33" s="45"/>
      <c r="L33" s="78"/>
      <c r="M33" s="115"/>
      <c r="N33" s="150"/>
    </row>
    <row r="34">
      <c r="A34" s="7">
        <v>45945.0</v>
      </c>
      <c r="B34" s="9">
        <v>0.0</v>
      </c>
      <c r="C34" s="9">
        <v>0.0</v>
      </c>
      <c r="D34" s="9">
        <v>206.89</v>
      </c>
      <c r="E34" s="14">
        <f t="shared" si="1"/>
        <v>0</v>
      </c>
      <c r="F34" s="14">
        <f t="shared" si="3"/>
        <v>0</v>
      </c>
      <c r="H34" s="134"/>
      <c r="I34" s="18"/>
      <c r="J34" s="18"/>
      <c r="L34" s="145"/>
      <c r="M34" s="81"/>
      <c r="N34" s="81"/>
    </row>
    <row r="35">
      <c r="A35" s="7">
        <v>45946.0</v>
      </c>
      <c r="B35" s="9">
        <v>0.0</v>
      </c>
      <c r="C35" s="9">
        <v>0.0</v>
      </c>
      <c r="D35" s="9">
        <v>206.86</v>
      </c>
      <c r="E35" s="14">
        <f t="shared" si="1"/>
        <v>0</v>
      </c>
      <c r="F35" s="14">
        <f t="shared" si="3"/>
        <v>0</v>
      </c>
      <c r="H35" s="133"/>
      <c r="I35" s="45"/>
      <c r="J35" s="45"/>
      <c r="L35" s="78"/>
      <c r="M35" s="115"/>
      <c r="N35" s="150"/>
    </row>
    <row r="36">
      <c r="A36" s="7">
        <v>45947.0</v>
      </c>
      <c r="B36" s="9">
        <v>0.0</v>
      </c>
      <c r="C36" s="9">
        <v>0.0</v>
      </c>
      <c r="D36" s="9">
        <v>206.83</v>
      </c>
      <c r="E36" s="14">
        <f t="shared" si="1"/>
        <v>0</v>
      </c>
      <c r="F36" s="14">
        <f t="shared" si="3"/>
        <v>0</v>
      </c>
      <c r="H36" s="134"/>
      <c r="I36" s="18"/>
      <c r="J36" s="18"/>
      <c r="L36" s="145"/>
      <c r="M36" s="81"/>
      <c r="N36" s="81"/>
    </row>
    <row r="37">
      <c r="A37" s="7">
        <v>45950.0</v>
      </c>
      <c r="B37" s="9">
        <v>0.0</v>
      </c>
      <c r="C37" s="9">
        <v>0.0</v>
      </c>
      <c r="D37" s="9">
        <v>211.32</v>
      </c>
      <c r="E37" s="14">
        <f t="shared" si="1"/>
        <v>0</v>
      </c>
      <c r="F37" s="14">
        <f t="shared" si="3"/>
        <v>0</v>
      </c>
      <c r="H37" s="133"/>
      <c r="I37" s="45"/>
      <c r="J37" s="45"/>
      <c r="L37" s="78"/>
      <c r="M37" s="115"/>
      <c r="N37" s="115"/>
    </row>
    <row r="38">
      <c r="A38" s="7">
        <v>45951.0</v>
      </c>
      <c r="B38" s="9">
        <v>0.0</v>
      </c>
      <c r="C38" s="9">
        <v>0.0</v>
      </c>
      <c r="D38" s="9">
        <v>213.56</v>
      </c>
      <c r="E38" s="14">
        <f t="shared" si="1"/>
        <v>0</v>
      </c>
      <c r="F38" s="14">
        <f t="shared" si="3"/>
        <v>0</v>
      </c>
      <c r="H38" s="134"/>
      <c r="I38" s="18"/>
      <c r="J38" s="18"/>
    </row>
    <row r="39">
      <c r="A39" s="7">
        <v>45952.0</v>
      </c>
      <c r="B39" s="9">
        <v>0.0</v>
      </c>
      <c r="C39" s="9">
        <v>-0.6</v>
      </c>
      <c r="D39" s="9">
        <v>212.86</v>
      </c>
      <c r="E39" s="14">
        <f t="shared" si="1"/>
        <v>-0.6</v>
      </c>
      <c r="F39" s="14">
        <f t="shared" si="3"/>
        <v>-127.716</v>
      </c>
      <c r="H39" s="134"/>
      <c r="I39" s="18"/>
      <c r="J39" s="18"/>
    </row>
    <row r="40">
      <c r="A40" s="7">
        <v>45953.0</v>
      </c>
      <c r="B40" s="9">
        <v>0.0</v>
      </c>
      <c r="C40" s="9">
        <v>0.0</v>
      </c>
      <c r="D40" s="9">
        <v>214.38</v>
      </c>
      <c r="E40" s="14">
        <f t="shared" si="1"/>
        <v>0</v>
      </c>
      <c r="F40" s="14">
        <f t="shared" si="3"/>
        <v>0</v>
      </c>
      <c r="H40" s="134"/>
      <c r="I40" s="18"/>
      <c r="J40" s="18"/>
    </row>
    <row r="41">
      <c r="A41" s="7">
        <v>45954.0</v>
      </c>
      <c r="B41" s="9">
        <v>0.0</v>
      </c>
      <c r="C41" s="9">
        <v>0.0</v>
      </c>
      <c r="D41" s="9">
        <v>217.07</v>
      </c>
      <c r="E41" s="14">
        <f t="shared" si="1"/>
        <v>0</v>
      </c>
      <c r="F41" s="14">
        <f t="shared" si="3"/>
        <v>0</v>
      </c>
      <c r="H41" s="134"/>
      <c r="I41" s="18"/>
      <c r="J41" s="18"/>
    </row>
    <row r="42">
      <c r="A42" s="7">
        <v>45957.0</v>
      </c>
      <c r="B42" s="9">
        <v>0.0</v>
      </c>
      <c r="C42" s="9">
        <v>0.0</v>
      </c>
      <c r="D42" s="9">
        <v>219.01</v>
      </c>
      <c r="E42" s="14">
        <f t="shared" si="1"/>
        <v>0</v>
      </c>
      <c r="F42" s="14">
        <f t="shared" si="3"/>
        <v>0</v>
      </c>
      <c r="H42" s="134"/>
      <c r="I42" s="18"/>
      <c r="J42" s="18"/>
    </row>
    <row r="43">
      <c r="A43" s="7">
        <v>45958.0</v>
      </c>
      <c r="B43" s="9">
        <v>0.0</v>
      </c>
      <c r="C43" s="9">
        <v>0.0</v>
      </c>
      <c r="D43" s="9">
        <v>221.56</v>
      </c>
      <c r="E43" s="14">
        <f t="shared" si="1"/>
        <v>0</v>
      </c>
      <c r="F43" s="14">
        <f t="shared" si="3"/>
        <v>0</v>
      </c>
      <c r="H43" s="134"/>
      <c r="I43" s="18"/>
      <c r="J43" s="18"/>
    </row>
    <row r="44">
      <c r="A44" s="7">
        <v>45959.0</v>
      </c>
      <c r="B44" s="9">
        <v>0.0</v>
      </c>
      <c r="C44" s="9">
        <v>0.0</v>
      </c>
      <c r="D44" s="9">
        <v>217.66</v>
      </c>
      <c r="E44" s="14">
        <f t="shared" si="1"/>
        <v>0</v>
      </c>
      <c r="F44" s="14">
        <f t="shared" si="3"/>
        <v>0</v>
      </c>
      <c r="H44" s="134"/>
      <c r="I44" s="18"/>
      <c r="J44" s="18"/>
    </row>
    <row r="45">
      <c r="A45" s="7">
        <v>45960.0</v>
      </c>
      <c r="B45" s="9">
        <v>0.0</v>
      </c>
      <c r="C45" s="9">
        <v>0.0</v>
      </c>
      <c r="D45" s="9">
        <v>218.72</v>
      </c>
      <c r="E45" s="14">
        <f t="shared" si="1"/>
        <v>0</v>
      </c>
      <c r="F45" s="14">
        <f t="shared" si="3"/>
        <v>0</v>
      </c>
      <c r="H45" s="136"/>
      <c r="I45" s="91"/>
      <c r="J45" s="91"/>
    </row>
    <row r="46">
      <c r="A46" s="7">
        <v>45961.0</v>
      </c>
      <c r="B46" s="9">
        <v>0.0</v>
      </c>
      <c r="C46" s="9">
        <v>0.0</v>
      </c>
      <c r="D46" s="9">
        <v>219.72</v>
      </c>
      <c r="E46" s="14">
        <f t="shared" si="1"/>
        <v>0</v>
      </c>
      <c r="F46" s="14">
        <f t="shared" si="3"/>
        <v>0</v>
      </c>
      <c r="H46" s="91"/>
      <c r="I46" s="121"/>
      <c r="J46" s="121"/>
    </row>
    <row r="47">
      <c r="A47" s="7">
        <v>45964.0</v>
      </c>
      <c r="B47" s="9">
        <v>0.0</v>
      </c>
      <c r="C47" s="9">
        <v>0.0</v>
      </c>
      <c r="D47" s="9">
        <v>218.34</v>
      </c>
      <c r="E47" s="14">
        <f t="shared" si="1"/>
        <v>0</v>
      </c>
      <c r="F47" s="14">
        <f t="shared" si="3"/>
        <v>0</v>
      </c>
      <c r="H47" s="94"/>
      <c r="I47" s="94"/>
      <c r="J47" s="94"/>
    </row>
    <row r="48">
      <c r="A48" s="7">
        <v>45965.0</v>
      </c>
      <c r="B48" s="9">
        <v>-2.8</v>
      </c>
      <c r="C48" s="9">
        <v>0.0</v>
      </c>
      <c r="D48" s="9">
        <v>214.96</v>
      </c>
      <c r="E48" s="14">
        <f t="shared" si="1"/>
        <v>-2.8</v>
      </c>
      <c r="F48" s="14">
        <f t="shared" si="3"/>
        <v>-601.888</v>
      </c>
      <c r="H48" s="91"/>
      <c r="I48" s="121"/>
      <c r="J48" s="121"/>
    </row>
    <row r="49">
      <c r="A49" s="7">
        <v>45966.0</v>
      </c>
      <c r="B49" s="9">
        <v>0.0</v>
      </c>
      <c r="C49" s="9">
        <v>0.0</v>
      </c>
      <c r="D49" s="9">
        <v>213.73</v>
      </c>
      <c r="E49" s="14">
        <f t="shared" si="1"/>
        <v>0</v>
      </c>
      <c r="F49" s="14">
        <f t="shared" si="3"/>
        <v>0</v>
      </c>
      <c r="H49" s="94"/>
      <c r="I49" s="94"/>
      <c r="J49" s="94"/>
    </row>
    <row r="50">
      <c r="A50" s="7">
        <v>45967.0</v>
      </c>
      <c r="B50" s="9">
        <v>0.0</v>
      </c>
      <c r="C50" s="9">
        <v>0.0</v>
      </c>
      <c r="D50" s="9">
        <v>210.71</v>
      </c>
      <c r="E50" s="14">
        <f t="shared" si="1"/>
        <v>0</v>
      </c>
      <c r="F50" s="14">
        <f t="shared" si="3"/>
        <v>0</v>
      </c>
      <c r="H50" s="136"/>
      <c r="I50" s="91"/>
      <c r="J50" s="91"/>
    </row>
    <row r="51">
      <c r="A51" s="7">
        <v>45968.0</v>
      </c>
      <c r="B51" s="9">
        <v>0.0</v>
      </c>
      <c r="C51" s="9">
        <v>0.0</v>
      </c>
      <c r="D51" s="9">
        <v>210.92</v>
      </c>
      <c r="E51" s="14">
        <f t="shared" si="1"/>
        <v>0</v>
      </c>
      <c r="F51" s="14">
        <f t="shared" si="3"/>
        <v>0</v>
      </c>
      <c r="H51" s="136"/>
      <c r="I51" s="91"/>
      <c r="J51" s="91"/>
      <c r="L51" s="137" t="s">
        <v>208</v>
      </c>
      <c r="M51" s="33" t="s">
        <v>65</v>
      </c>
      <c r="N51" s="33" t="s">
        <v>66</v>
      </c>
    </row>
    <row r="52">
      <c r="A52" s="7">
        <v>45971.0</v>
      </c>
      <c r="B52" s="9">
        <v>0.0</v>
      </c>
      <c r="C52" s="9">
        <v>0.0</v>
      </c>
      <c r="D52" s="9">
        <v>215.36</v>
      </c>
      <c r="E52" s="14">
        <f t="shared" si="1"/>
        <v>0</v>
      </c>
      <c r="F52" s="14">
        <f t="shared" si="3"/>
        <v>0</v>
      </c>
      <c r="H52" s="137" t="s">
        <v>208</v>
      </c>
      <c r="I52" s="33" t="s">
        <v>65</v>
      </c>
      <c r="J52" s="33" t="s">
        <v>66</v>
      </c>
      <c r="L52" s="33" t="s">
        <v>145</v>
      </c>
      <c r="M52" s="147">
        <v>0.0</v>
      </c>
      <c r="N52" s="138" t="s">
        <v>178</v>
      </c>
    </row>
    <row r="53">
      <c r="A53" s="7">
        <v>45972.0</v>
      </c>
      <c r="B53" s="9">
        <v>-1.4</v>
      </c>
      <c r="C53" s="9">
        <v>0.0</v>
      </c>
      <c r="D53" s="9">
        <v>217.6</v>
      </c>
      <c r="E53" s="14">
        <f t="shared" si="1"/>
        <v>-1.4</v>
      </c>
      <c r="F53" s="14">
        <f t="shared" si="3"/>
        <v>-304.64</v>
      </c>
      <c r="H53" s="33" t="s">
        <v>145</v>
      </c>
      <c r="I53" s="139">
        <f>E57</f>
        <v>0</v>
      </c>
      <c r="J53" s="155">
        <f>D57</f>
        <v>204.08</v>
      </c>
      <c r="L53" s="36"/>
      <c r="M53" s="156"/>
      <c r="N53" s="36"/>
    </row>
    <row r="54">
      <c r="A54" s="7">
        <v>45973.0</v>
      </c>
      <c r="B54" s="9">
        <v>0.0</v>
      </c>
      <c r="C54" s="9">
        <v>0.0</v>
      </c>
      <c r="D54" s="9">
        <v>213.26</v>
      </c>
      <c r="E54" s="14">
        <f t="shared" si="1"/>
        <v>0</v>
      </c>
      <c r="F54" s="14">
        <f t="shared" si="3"/>
        <v>0</v>
      </c>
      <c r="H54" s="36"/>
      <c r="I54" s="36"/>
      <c r="J54" s="36"/>
      <c r="L54" s="33" t="s">
        <v>68</v>
      </c>
      <c r="M54" s="126">
        <v>-1.8</v>
      </c>
      <c r="N54" s="138">
        <v>214.47</v>
      </c>
    </row>
    <row r="55">
      <c r="A55" s="7">
        <v>45974.0</v>
      </c>
      <c r="B55" s="9">
        <v>0.0</v>
      </c>
      <c r="C55" s="9">
        <v>0.0</v>
      </c>
      <c r="D55" s="9">
        <v>206.65</v>
      </c>
      <c r="E55" s="14">
        <f t="shared" si="1"/>
        <v>0</v>
      </c>
      <c r="F55" s="14">
        <f t="shared" si="3"/>
        <v>0</v>
      </c>
      <c r="H55" s="33" t="s">
        <v>68</v>
      </c>
      <c r="I55" s="139">
        <f>SUM(E53:E57)</f>
        <v>-1.8</v>
      </c>
      <c r="J55" s="155">
        <f>SUM(F53:F57)/I55</f>
        <v>214.4733333</v>
      </c>
      <c r="L55" s="36"/>
      <c r="M55" s="36"/>
      <c r="N55" s="36"/>
    </row>
    <row r="56">
      <c r="A56" s="7">
        <v>45975.0</v>
      </c>
      <c r="B56" s="9">
        <v>0.0</v>
      </c>
      <c r="C56" s="9">
        <v>-0.4</v>
      </c>
      <c r="D56" s="9">
        <v>203.53</v>
      </c>
      <c r="E56" s="14">
        <f t="shared" si="1"/>
        <v>-0.4</v>
      </c>
      <c r="F56" s="14">
        <f t="shared" si="3"/>
        <v>-81.412</v>
      </c>
      <c r="H56" s="36"/>
      <c r="I56" s="36"/>
      <c r="J56" s="36"/>
      <c r="L56" s="33" t="s">
        <v>69</v>
      </c>
      <c r="M56" s="126">
        <v>-5.2</v>
      </c>
      <c r="N56" s="138">
        <v>214.55</v>
      </c>
    </row>
    <row r="57">
      <c r="A57" s="7">
        <v>45978.0</v>
      </c>
      <c r="B57" s="9">
        <v>0.0</v>
      </c>
      <c r="C57" s="9">
        <v>0.0</v>
      </c>
      <c r="D57" s="9">
        <v>204.08</v>
      </c>
      <c r="E57" s="14">
        <f t="shared" si="1"/>
        <v>0</v>
      </c>
      <c r="F57" s="14">
        <f t="shared" si="3"/>
        <v>0</v>
      </c>
      <c r="H57" s="33" t="s">
        <v>69</v>
      </c>
      <c r="I57" s="139">
        <f>SUM(E38:E57)</f>
        <v>-5.2</v>
      </c>
      <c r="J57" s="155">
        <f>SUM(F38:F57)/I57</f>
        <v>214.5492308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2.25"/>
  </cols>
  <sheetData>
    <row r="1">
      <c r="A1" s="149" t="s">
        <v>0</v>
      </c>
      <c r="B1" s="110" t="s">
        <v>209</v>
      </c>
      <c r="C1" s="110" t="s">
        <v>210</v>
      </c>
      <c r="D1" s="110" t="s">
        <v>211</v>
      </c>
      <c r="E1" s="110" t="s">
        <v>212</v>
      </c>
      <c r="F1" s="110" t="s">
        <v>151</v>
      </c>
      <c r="G1" s="110" t="s">
        <v>3</v>
      </c>
    </row>
    <row r="2">
      <c r="A2" s="7">
        <v>45922.0</v>
      </c>
      <c r="B2" s="9">
        <v>-2100.0</v>
      </c>
      <c r="C2" s="9">
        <v>119.6</v>
      </c>
      <c r="D2" s="14">
        <f>64.1*3</f>
        <v>192.3</v>
      </c>
      <c r="E2" s="9">
        <v>320.44</v>
      </c>
      <c r="F2" s="14">
        <f t="shared" ref="F2:F42" si="1">SUM(B2:D2)</f>
        <v>-1788.1</v>
      </c>
      <c r="G2" s="14">
        <f t="shared" ref="G2:G42" si="2">E2*F2</f>
        <v>-572978.764</v>
      </c>
    </row>
    <row r="3">
      <c r="A3" s="7">
        <v>45923.0</v>
      </c>
      <c r="B3" s="9">
        <v>-16.1</v>
      </c>
      <c r="C3" s="9">
        <v>-135.0</v>
      </c>
      <c r="D3" s="14">
        <f>-9.3*3</f>
        <v>-27.9</v>
      </c>
      <c r="E3" s="9">
        <v>322.36</v>
      </c>
      <c r="F3" s="14">
        <f t="shared" si="1"/>
        <v>-179</v>
      </c>
      <c r="G3" s="14">
        <f t="shared" si="2"/>
        <v>-57702.44</v>
      </c>
    </row>
    <row r="4">
      <c r="A4" s="7">
        <v>45924.0</v>
      </c>
      <c r="B4" s="9">
        <v>-64.3</v>
      </c>
      <c r="C4" s="9">
        <v>-148.2</v>
      </c>
      <c r="D4" s="14">
        <f>-9.5*3</f>
        <v>-28.5</v>
      </c>
      <c r="E4" s="9">
        <v>320.18</v>
      </c>
      <c r="F4" s="14">
        <f t="shared" si="1"/>
        <v>-241</v>
      </c>
      <c r="G4" s="14">
        <f t="shared" si="2"/>
        <v>-77163.38</v>
      </c>
    </row>
    <row r="5">
      <c r="A5" s="7">
        <v>45925.0</v>
      </c>
      <c r="B5" s="9">
        <v>96.4</v>
      </c>
      <c r="C5" s="9">
        <v>0.0</v>
      </c>
      <c r="D5" s="14">
        <f>-9.3*3</f>
        <v>-27.9</v>
      </c>
      <c r="E5" s="9">
        <v>318.9</v>
      </c>
      <c r="F5" s="14">
        <f t="shared" si="1"/>
        <v>68.5</v>
      </c>
      <c r="G5" s="14">
        <f t="shared" si="2"/>
        <v>21844.65</v>
      </c>
    </row>
    <row r="6">
      <c r="A6" s="7">
        <v>45926.0</v>
      </c>
      <c r="B6" s="9">
        <v>64.2</v>
      </c>
      <c r="C6" s="9">
        <v>120.7</v>
      </c>
      <c r="D6" s="14">
        <f>14.7*3</f>
        <v>44.1</v>
      </c>
      <c r="E6" s="9">
        <v>320.79</v>
      </c>
      <c r="F6" s="14">
        <f t="shared" si="1"/>
        <v>229</v>
      </c>
      <c r="G6" s="14">
        <f t="shared" si="2"/>
        <v>73460.91</v>
      </c>
    </row>
    <row r="7">
      <c r="A7" s="7">
        <v>45929.0</v>
      </c>
      <c r="B7" s="9">
        <v>96.6</v>
      </c>
      <c r="C7" s="9">
        <v>0.0</v>
      </c>
      <c r="D7" s="14">
        <f>38*3</f>
        <v>114</v>
      </c>
      <c r="E7" s="9">
        <v>324.0</v>
      </c>
      <c r="F7" s="14">
        <f t="shared" si="1"/>
        <v>210.6</v>
      </c>
      <c r="G7" s="14">
        <f t="shared" si="2"/>
        <v>68234.4</v>
      </c>
    </row>
    <row r="8">
      <c r="A8" s="7">
        <v>45930.0</v>
      </c>
      <c r="B8" s="9">
        <v>290.3</v>
      </c>
      <c r="C8" s="9">
        <v>-26.9</v>
      </c>
      <c r="D8" s="14">
        <f>6.1*3</f>
        <v>18.3</v>
      </c>
      <c r="E8" s="9">
        <v>325.17</v>
      </c>
      <c r="F8" s="14">
        <f t="shared" si="1"/>
        <v>281.7</v>
      </c>
      <c r="G8" s="14">
        <f t="shared" si="2"/>
        <v>91600.389</v>
      </c>
    </row>
    <row r="9">
      <c r="A9" s="7">
        <v>45931.0</v>
      </c>
      <c r="B9" s="9">
        <v>408.1</v>
      </c>
      <c r="C9" s="9">
        <v>94.9</v>
      </c>
      <c r="D9" s="14">
        <f>5.7*3</f>
        <v>17.1</v>
      </c>
      <c r="E9" s="9">
        <v>330.64</v>
      </c>
      <c r="F9" s="14">
        <f t="shared" si="1"/>
        <v>520.1</v>
      </c>
      <c r="G9" s="14">
        <f t="shared" si="2"/>
        <v>171965.864</v>
      </c>
    </row>
    <row r="10">
      <c r="A10" s="7">
        <v>45932.0</v>
      </c>
      <c r="B10" s="9">
        <v>317.0</v>
      </c>
      <c r="C10" s="9">
        <v>13.8</v>
      </c>
      <c r="D10" s="14">
        <f>-47.9*3</f>
        <v>-143.7</v>
      </c>
      <c r="E10" s="9">
        <v>338.27</v>
      </c>
      <c r="F10" s="14">
        <f t="shared" si="1"/>
        <v>187.1</v>
      </c>
      <c r="G10" s="14">
        <f t="shared" si="2"/>
        <v>63290.317</v>
      </c>
    </row>
    <row r="11">
      <c r="A11" s="7">
        <v>45933.0</v>
      </c>
      <c r="B11" s="9">
        <v>33.8</v>
      </c>
      <c r="C11" s="9">
        <v>0.0</v>
      </c>
      <c r="D11" s="14">
        <f>-95.9*3</f>
        <v>-287.7</v>
      </c>
      <c r="E11" s="9">
        <v>337.55</v>
      </c>
      <c r="F11" s="14">
        <f t="shared" si="1"/>
        <v>-253.9</v>
      </c>
      <c r="G11" s="14">
        <f t="shared" si="2"/>
        <v>-85703.945</v>
      </c>
    </row>
    <row r="12">
      <c r="A12" s="7">
        <v>45936.0</v>
      </c>
      <c r="B12" s="9">
        <v>-101.0</v>
      </c>
      <c r="C12" s="9">
        <v>56.0</v>
      </c>
      <c r="D12" s="14">
        <f>-48</f>
        <v>-48</v>
      </c>
      <c r="E12" s="9">
        <v>345.1</v>
      </c>
      <c r="F12" s="14">
        <f t="shared" si="1"/>
        <v>-93</v>
      </c>
      <c r="G12" s="14">
        <f t="shared" si="2"/>
        <v>-32094.3</v>
      </c>
    </row>
    <row r="13">
      <c r="A13" s="7">
        <v>45937.0</v>
      </c>
      <c r="B13" s="9">
        <v>171.8</v>
      </c>
      <c r="C13" s="9">
        <v>-72.1</v>
      </c>
      <c r="D13" s="14">
        <f>-103.4*3</f>
        <v>-310.2</v>
      </c>
      <c r="E13" s="9">
        <v>340.09</v>
      </c>
      <c r="F13" s="14">
        <f t="shared" si="1"/>
        <v>-210.5</v>
      </c>
      <c r="G13" s="14">
        <f t="shared" si="2"/>
        <v>-71588.945</v>
      </c>
    </row>
    <row r="14">
      <c r="A14" s="7">
        <v>45938.0</v>
      </c>
      <c r="B14" s="9">
        <v>134.8</v>
      </c>
      <c r="C14" s="9">
        <v>-296.0</v>
      </c>
      <c r="D14" s="9">
        <v>24.0</v>
      </c>
      <c r="E14" s="9">
        <v>342.98</v>
      </c>
      <c r="F14" s="14">
        <f t="shared" si="1"/>
        <v>-137.2</v>
      </c>
      <c r="G14" s="14">
        <f t="shared" si="2"/>
        <v>-47056.856</v>
      </c>
    </row>
    <row r="15">
      <c r="A15" s="7">
        <v>45939.0</v>
      </c>
      <c r="B15" s="9">
        <v>86.5</v>
      </c>
      <c r="C15" s="9">
        <v>131.2</v>
      </c>
      <c r="D15" s="9">
        <v>0.0</v>
      </c>
      <c r="E15" s="9">
        <v>344.9</v>
      </c>
      <c r="F15" s="14">
        <f t="shared" si="1"/>
        <v>217.7</v>
      </c>
      <c r="G15" s="14">
        <f t="shared" si="2"/>
        <v>75084.73</v>
      </c>
    </row>
    <row r="16">
      <c r="A16" s="7">
        <v>45940.0</v>
      </c>
      <c r="B16" s="9">
        <v>-17.5</v>
      </c>
      <c r="C16" s="9">
        <v>-304.7</v>
      </c>
      <c r="D16" s="9">
        <v>-96.6</v>
      </c>
      <c r="E16" s="9">
        <v>332.22</v>
      </c>
      <c r="F16" s="14">
        <f t="shared" si="1"/>
        <v>-418.8</v>
      </c>
      <c r="G16" s="14">
        <f t="shared" si="2"/>
        <v>-139133.736</v>
      </c>
    </row>
    <row r="17">
      <c r="A17" s="7">
        <v>45943.0</v>
      </c>
      <c r="B17" s="9">
        <v>-568.8</v>
      </c>
      <c r="C17" s="9">
        <v>-597.8</v>
      </c>
      <c r="D17" s="14">
        <f>151.8</f>
        <v>151.8</v>
      </c>
      <c r="E17" s="9">
        <v>338.61</v>
      </c>
      <c r="F17" s="14">
        <f t="shared" si="1"/>
        <v>-1014.8</v>
      </c>
      <c r="G17" s="14">
        <f t="shared" si="2"/>
        <v>-343621.428</v>
      </c>
      <c r="I17" s="157"/>
      <c r="J17" s="157"/>
      <c r="K17" s="157"/>
      <c r="M17" s="157"/>
      <c r="N17" s="157"/>
      <c r="O17" s="157"/>
    </row>
    <row r="18">
      <c r="A18" s="7">
        <v>45944.0</v>
      </c>
      <c r="B18" s="9">
        <v>187.0</v>
      </c>
      <c r="C18" s="9">
        <v>399.2</v>
      </c>
      <c r="D18" s="14">
        <f>-24.7*3</f>
        <v>-74.1</v>
      </c>
      <c r="E18" s="9">
        <v>334.27</v>
      </c>
      <c r="F18" s="14">
        <f t="shared" si="1"/>
        <v>512.1</v>
      </c>
      <c r="G18" s="14">
        <f t="shared" si="2"/>
        <v>171179.667</v>
      </c>
      <c r="I18" s="158"/>
      <c r="J18" s="158"/>
      <c r="K18" s="158"/>
      <c r="M18" s="78"/>
      <c r="N18" s="115"/>
      <c r="O18" s="115"/>
    </row>
    <row r="19">
      <c r="A19" s="7">
        <v>45945.0</v>
      </c>
      <c r="B19" s="9">
        <v>-266.7</v>
      </c>
      <c r="C19" s="9">
        <v>209.2</v>
      </c>
      <c r="D19" s="14">
        <f>98.9*3</f>
        <v>296.7</v>
      </c>
      <c r="E19" s="9">
        <v>340.12</v>
      </c>
      <c r="F19" s="14">
        <f t="shared" si="1"/>
        <v>239.2</v>
      </c>
      <c r="G19" s="14">
        <f t="shared" si="2"/>
        <v>81356.704</v>
      </c>
      <c r="I19" s="159"/>
      <c r="J19" s="159"/>
      <c r="K19" s="159"/>
      <c r="M19" s="81"/>
      <c r="N19" s="81"/>
      <c r="O19" s="81"/>
    </row>
    <row r="20">
      <c r="A20" s="7">
        <v>45946.0</v>
      </c>
      <c r="B20" s="9">
        <v>170.9</v>
      </c>
      <c r="C20" s="9">
        <v>-43.2</v>
      </c>
      <c r="D20" s="14">
        <f>-46.5</f>
        <v>-46.5</v>
      </c>
      <c r="E20" s="9">
        <v>343.4</v>
      </c>
      <c r="F20" s="14">
        <f t="shared" si="1"/>
        <v>81.2</v>
      </c>
      <c r="G20" s="14">
        <f t="shared" si="2"/>
        <v>27884.08</v>
      </c>
      <c r="I20" s="158"/>
      <c r="J20" s="158"/>
      <c r="K20" s="160"/>
      <c r="M20" s="78"/>
      <c r="N20" s="115"/>
      <c r="O20" s="83"/>
    </row>
    <row r="21">
      <c r="A21" s="7">
        <v>45947.0</v>
      </c>
      <c r="B21" s="9">
        <v>137.3</v>
      </c>
      <c r="C21" s="9">
        <v>43.4</v>
      </c>
      <c r="D21" s="14">
        <f>-83.2*3</f>
        <v>-249.6</v>
      </c>
      <c r="E21" s="9">
        <v>341.97</v>
      </c>
      <c r="F21" s="14">
        <f t="shared" si="1"/>
        <v>-68.9</v>
      </c>
      <c r="G21" s="14">
        <f t="shared" si="2"/>
        <v>-23561.733</v>
      </c>
      <c r="I21" s="159"/>
      <c r="J21" s="159"/>
      <c r="K21" s="160"/>
      <c r="M21" s="81"/>
      <c r="N21" s="81"/>
      <c r="O21" s="81"/>
    </row>
    <row r="22">
      <c r="A22" s="7">
        <v>45950.0</v>
      </c>
      <c r="B22" s="9">
        <v>-154.3</v>
      </c>
      <c r="C22" s="9">
        <v>-144.1</v>
      </c>
      <c r="D22" s="9">
        <v>62.1</v>
      </c>
      <c r="E22" s="9">
        <v>347.64</v>
      </c>
      <c r="F22" s="14">
        <f t="shared" si="1"/>
        <v>-236.3</v>
      </c>
      <c r="G22" s="14">
        <f t="shared" si="2"/>
        <v>-82147.332</v>
      </c>
      <c r="I22" s="158"/>
      <c r="J22" s="158"/>
      <c r="K22" s="160"/>
      <c r="M22" s="78"/>
      <c r="N22" s="115"/>
      <c r="O22" s="83"/>
    </row>
    <row r="23">
      <c r="A23" s="7">
        <v>45951.0</v>
      </c>
      <c r="B23" s="9">
        <v>330.0</v>
      </c>
      <c r="C23" s="9">
        <v>205.1</v>
      </c>
      <c r="D23" s="9">
        <v>17.2</v>
      </c>
      <c r="E23" s="9">
        <v>345.19</v>
      </c>
      <c r="F23" s="14">
        <f t="shared" si="1"/>
        <v>552.3</v>
      </c>
      <c r="G23" s="14">
        <f t="shared" si="2"/>
        <v>190648.437</v>
      </c>
      <c r="I23" s="159"/>
      <c r="J23" s="159"/>
      <c r="K23" s="160"/>
    </row>
    <row r="24">
      <c r="A24" s="7">
        <v>45952.0</v>
      </c>
      <c r="B24" s="9">
        <v>172.7</v>
      </c>
      <c r="C24" s="9">
        <v>-72.8</v>
      </c>
      <c r="D24" s="9">
        <v>-4.8</v>
      </c>
      <c r="E24" s="9">
        <v>338.62</v>
      </c>
      <c r="F24" s="14">
        <f t="shared" si="1"/>
        <v>95.1</v>
      </c>
      <c r="G24" s="14">
        <f t="shared" si="2"/>
        <v>32202.762</v>
      </c>
      <c r="I24" s="159"/>
      <c r="J24" s="159"/>
      <c r="K24" s="160"/>
    </row>
    <row r="25">
      <c r="A25" s="7">
        <v>45953.0</v>
      </c>
      <c r="B25" s="9">
        <v>-237.0</v>
      </c>
      <c r="C25" s="9">
        <v>-14.2</v>
      </c>
      <c r="D25" s="14">
        <f>-114.5*3</f>
        <v>-343.5</v>
      </c>
      <c r="E25" s="9">
        <v>342.48</v>
      </c>
      <c r="F25" s="14">
        <f t="shared" si="1"/>
        <v>-594.7</v>
      </c>
      <c r="G25" s="14">
        <f t="shared" si="2"/>
        <v>-203672.856</v>
      </c>
      <c r="I25" s="159"/>
      <c r="J25" s="159"/>
      <c r="K25" s="160"/>
    </row>
    <row r="26">
      <c r="A26" s="7">
        <v>45954.0</v>
      </c>
      <c r="B26" s="9">
        <v>120.8</v>
      </c>
      <c r="C26" s="9">
        <v>131.1</v>
      </c>
      <c r="D26" s="14">
        <f>-86.5*3</f>
        <v>-259.5</v>
      </c>
      <c r="E26" s="9">
        <v>351.3</v>
      </c>
      <c r="F26" s="14">
        <f t="shared" si="1"/>
        <v>-7.6</v>
      </c>
      <c r="G26" s="14">
        <f t="shared" si="2"/>
        <v>-2669.88</v>
      </c>
      <c r="I26" s="159"/>
      <c r="J26" s="159"/>
      <c r="K26" s="160"/>
    </row>
    <row r="27">
      <c r="A27" s="7">
        <v>45957.0</v>
      </c>
      <c r="B27" s="9">
        <v>35.1</v>
      </c>
      <c r="C27" s="9">
        <v>-44.4</v>
      </c>
      <c r="D27" s="9">
        <v>19.9</v>
      </c>
      <c r="E27" s="9">
        <v>358.35</v>
      </c>
      <c r="F27" s="14">
        <f t="shared" si="1"/>
        <v>10.6</v>
      </c>
      <c r="G27" s="14">
        <f t="shared" si="2"/>
        <v>3798.51</v>
      </c>
      <c r="I27" s="159"/>
      <c r="J27" s="159"/>
      <c r="K27" s="160"/>
    </row>
    <row r="28">
      <c r="A28" s="7">
        <v>45958.0</v>
      </c>
      <c r="B28" s="9">
        <v>288.1</v>
      </c>
      <c r="C28" s="9">
        <v>167.4</v>
      </c>
      <c r="D28" s="14">
        <f>-24.7*3</f>
        <v>-74.1</v>
      </c>
      <c r="E28" s="9">
        <v>362.08</v>
      </c>
      <c r="F28" s="14">
        <f t="shared" si="1"/>
        <v>381.4</v>
      </c>
      <c r="G28" s="14">
        <f t="shared" si="2"/>
        <v>138097.312</v>
      </c>
      <c r="I28" s="159"/>
      <c r="J28" s="159"/>
      <c r="K28" s="160"/>
    </row>
    <row r="29">
      <c r="A29" s="7">
        <v>45959.0</v>
      </c>
      <c r="B29" s="9">
        <v>127.1</v>
      </c>
      <c r="C29" s="9">
        <v>-213.1</v>
      </c>
      <c r="D29" s="9">
        <f>-5.3*3</f>
        <v>-15.9</v>
      </c>
      <c r="E29" s="9">
        <v>369.07</v>
      </c>
      <c r="F29" s="14">
        <f t="shared" si="1"/>
        <v>-101.9</v>
      </c>
      <c r="G29" s="14">
        <f t="shared" si="2"/>
        <v>-37608.233</v>
      </c>
      <c r="I29" s="159"/>
      <c r="J29" s="159"/>
      <c r="K29" s="160"/>
    </row>
    <row r="30">
      <c r="A30" s="7">
        <v>45960.0</v>
      </c>
      <c r="B30" s="9">
        <v>-55.4</v>
      </c>
      <c r="C30" s="9">
        <v>139.5</v>
      </c>
      <c r="D30" s="9">
        <f>-39.8*3</f>
        <v>-119.4</v>
      </c>
      <c r="E30" s="9">
        <v>365.71</v>
      </c>
      <c r="F30" s="14">
        <f t="shared" si="1"/>
        <v>-35.3</v>
      </c>
      <c r="G30" s="14">
        <f t="shared" si="2"/>
        <v>-12909.563</v>
      </c>
      <c r="I30" s="159"/>
      <c r="J30" s="159"/>
      <c r="K30" s="160"/>
    </row>
    <row r="31">
      <c r="A31" s="7">
        <v>45961.0</v>
      </c>
      <c r="B31" s="9">
        <v>18.2</v>
      </c>
      <c r="C31" s="9">
        <v>259.6</v>
      </c>
      <c r="D31" s="9">
        <v>-183.6</v>
      </c>
      <c r="E31" s="9">
        <v>363.98</v>
      </c>
      <c r="F31" s="14">
        <f t="shared" si="1"/>
        <v>94.2</v>
      </c>
      <c r="G31" s="14">
        <f t="shared" si="2"/>
        <v>34286.916</v>
      </c>
      <c r="I31" s="161"/>
      <c r="J31" s="161"/>
      <c r="K31" s="162"/>
    </row>
    <row r="32">
      <c r="A32" s="7">
        <v>45964.0</v>
      </c>
      <c r="B32" s="9">
        <v>-18.2</v>
      </c>
      <c r="C32" s="9">
        <v>61.3</v>
      </c>
      <c r="D32" s="9">
        <v>-67.5</v>
      </c>
      <c r="E32" s="9">
        <v>366.75</v>
      </c>
      <c r="F32" s="14">
        <f t="shared" si="1"/>
        <v>-24.4</v>
      </c>
      <c r="G32" s="14">
        <f t="shared" si="2"/>
        <v>-8948.7</v>
      </c>
      <c r="I32" s="91"/>
      <c r="J32" s="121"/>
      <c r="K32" s="93"/>
    </row>
    <row r="33">
      <c r="A33" s="7">
        <v>45965.0</v>
      </c>
      <c r="B33" s="9">
        <v>126.1</v>
      </c>
      <c r="C33" s="9">
        <v>-15.4</v>
      </c>
      <c r="D33" s="14">
        <f>14.2*3</f>
        <v>42.6</v>
      </c>
      <c r="E33" s="9">
        <v>355.45</v>
      </c>
      <c r="F33" s="14">
        <f t="shared" si="1"/>
        <v>153.3</v>
      </c>
      <c r="G33" s="14">
        <f t="shared" si="2"/>
        <v>54490.485</v>
      </c>
      <c r="I33" s="94"/>
      <c r="J33" s="94"/>
      <c r="K33" s="96"/>
    </row>
    <row r="34">
      <c r="A34" s="7">
        <v>45966.0</v>
      </c>
      <c r="B34" s="9">
        <v>334.6</v>
      </c>
      <c r="C34" s="9">
        <v>325.4</v>
      </c>
      <c r="D34" s="14">
        <f>34.5*3</f>
        <v>103.5</v>
      </c>
      <c r="E34" s="9">
        <v>358.83</v>
      </c>
      <c r="F34" s="14">
        <f t="shared" si="1"/>
        <v>763.5</v>
      </c>
      <c r="G34" s="14">
        <f t="shared" si="2"/>
        <v>273966.705</v>
      </c>
      <c r="I34" s="91"/>
      <c r="J34" s="121"/>
      <c r="K34" s="93"/>
    </row>
    <row r="35">
      <c r="A35" s="7">
        <v>45967.0</v>
      </c>
      <c r="B35" s="9">
        <v>593.4</v>
      </c>
      <c r="C35" s="9">
        <v>-168.0</v>
      </c>
      <c r="D35" s="14">
        <f>-30.8*3</f>
        <v>-92.4</v>
      </c>
      <c r="E35" s="9">
        <v>353.32</v>
      </c>
      <c r="F35" s="14">
        <f t="shared" si="1"/>
        <v>333</v>
      </c>
      <c r="G35" s="14">
        <f t="shared" si="2"/>
        <v>117655.56</v>
      </c>
      <c r="I35" s="94"/>
      <c r="J35" s="94"/>
      <c r="K35" s="96"/>
    </row>
    <row r="36">
      <c r="A36" s="7">
        <v>45968.0</v>
      </c>
      <c r="B36" s="9">
        <v>298.3</v>
      </c>
      <c r="C36" s="9">
        <v>386.4</v>
      </c>
      <c r="D36" s="14">
        <f>60.6*3</f>
        <v>181.8</v>
      </c>
      <c r="E36" s="9">
        <v>344.33</v>
      </c>
      <c r="F36" s="14">
        <f t="shared" si="1"/>
        <v>866.5</v>
      </c>
      <c r="G36" s="14">
        <f t="shared" si="2"/>
        <v>298361.945</v>
      </c>
      <c r="I36" s="161"/>
      <c r="J36" s="161"/>
      <c r="K36" s="162"/>
      <c r="M36" s="163" t="s">
        <v>213</v>
      </c>
      <c r="N36" s="163" t="s">
        <v>65</v>
      </c>
      <c r="O36" s="163" t="s">
        <v>66</v>
      </c>
    </row>
    <row r="37">
      <c r="A37" s="7">
        <v>45971.0</v>
      </c>
      <c r="B37" s="9">
        <v>-52.2</v>
      </c>
      <c r="C37" s="9">
        <v>0.0</v>
      </c>
      <c r="D37" s="14">
        <f>118.6*3</f>
        <v>355.8</v>
      </c>
      <c r="E37" s="9">
        <v>357.58</v>
      </c>
      <c r="F37" s="14">
        <f t="shared" si="1"/>
        <v>303.6</v>
      </c>
      <c r="G37" s="14">
        <f t="shared" si="2"/>
        <v>108561.288</v>
      </c>
      <c r="I37" s="163" t="s">
        <v>213</v>
      </c>
      <c r="J37" s="163" t="s">
        <v>65</v>
      </c>
      <c r="K37" s="164" t="s">
        <v>66</v>
      </c>
      <c r="M37" s="33" t="s">
        <v>145</v>
      </c>
      <c r="N37" s="126">
        <v>-20.5</v>
      </c>
      <c r="O37" s="138">
        <v>341.9</v>
      </c>
    </row>
    <row r="38">
      <c r="A38" s="7">
        <v>45972.0</v>
      </c>
      <c r="B38" s="9">
        <v>35.9</v>
      </c>
      <c r="C38" s="9">
        <v>-60.5</v>
      </c>
      <c r="D38" s="14">
        <f>6.5*3</f>
        <v>19.5</v>
      </c>
      <c r="E38" s="9">
        <v>352.28</v>
      </c>
      <c r="F38" s="14">
        <f t="shared" si="1"/>
        <v>-5.1</v>
      </c>
      <c r="G38" s="14">
        <f t="shared" si="2"/>
        <v>-1796.628</v>
      </c>
      <c r="I38" s="33" t="s">
        <v>145</v>
      </c>
      <c r="J38" s="128">
        <f>F42</f>
        <v>-20.5</v>
      </c>
      <c r="K38" s="100">
        <f>E42</f>
        <v>341.9</v>
      </c>
      <c r="M38" s="36"/>
      <c r="N38" s="36"/>
      <c r="O38" s="36"/>
    </row>
    <row r="39">
      <c r="A39" s="7">
        <v>45973.0</v>
      </c>
      <c r="B39" s="9">
        <v>579.0</v>
      </c>
      <c r="C39" s="9">
        <v>88.5</v>
      </c>
      <c r="D39" s="14">
        <f>20.4*3</f>
        <v>61.2</v>
      </c>
      <c r="E39" s="9">
        <v>355.32</v>
      </c>
      <c r="F39" s="14">
        <f t="shared" si="1"/>
        <v>728.7</v>
      </c>
      <c r="G39" s="14">
        <f t="shared" si="2"/>
        <v>258921.684</v>
      </c>
      <c r="I39" s="36"/>
      <c r="J39" s="36"/>
      <c r="K39" s="54"/>
      <c r="M39" s="33" t="s">
        <v>68</v>
      </c>
      <c r="N39" s="126">
        <v>-123.3</v>
      </c>
      <c r="O39" s="103">
        <v>275.27</v>
      </c>
    </row>
    <row r="40">
      <c r="A40" s="7">
        <v>45974.0</v>
      </c>
      <c r="B40" s="9">
        <v>-231.2</v>
      </c>
      <c r="C40" s="9">
        <v>-15.0</v>
      </c>
      <c r="D40" s="9">
        <v>-12.0</v>
      </c>
      <c r="E40" s="9">
        <v>346.32</v>
      </c>
      <c r="F40" s="14">
        <f t="shared" si="1"/>
        <v>-258.2</v>
      </c>
      <c r="G40" s="14">
        <f t="shared" si="2"/>
        <v>-89419.824</v>
      </c>
      <c r="I40" s="33" t="s">
        <v>68</v>
      </c>
      <c r="J40" s="128">
        <f>SUM(F38:F42)</f>
        <v>-123.3</v>
      </c>
      <c r="K40" s="100">
        <f>SUM(G38:G42)/J40</f>
        <v>275.268678</v>
      </c>
      <c r="M40" s="36"/>
      <c r="N40" s="36"/>
      <c r="O40" s="36"/>
    </row>
    <row r="41">
      <c r="A41" s="7">
        <v>45975.0</v>
      </c>
      <c r="B41" s="9">
        <v>-482.4</v>
      </c>
      <c r="C41" s="9">
        <v>-159.0</v>
      </c>
      <c r="D41" s="14">
        <f>24.4*3</f>
        <v>73.2</v>
      </c>
      <c r="E41" s="9">
        <v>342.55</v>
      </c>
      <c r="F41" s="14">
        <f t="shared" si="1"/>
        <v>-568.2</v>
      </c>
      <c r="G41" s="14">
        <f t="shared" si="2"/>
        <v>-194636.91</v>
      </c>
      <c r="I41" s="36"/>
      <c r="J41" s="36"/>
      <c r="K41" s="54"/>
      <c r="M41" s="33" t="s">
        <v>69</v>
      </c>
      <c r="N41" s="131">
        <v>2666.3</v>
      </c>
      <c r="O41" s="103">
        <v>357.17</v>
      </c>
    </row>
    <row r="42">
      <c r="A42" s="7">
        <v>45978.0</v>
      </c>
      <c r="B42" s="9">
        <v>0.0</v>
      </c>
      <c r="C42" s="9">
        <v>-70.6</v>
      </c>
      <c r="D42" s="9">
        <v>50.1</v>
      </c>
      <c r="E42" s="9">
        <v>341.9</v>
      </c>
      <c r="F42" s="14">
        <f t="shared" si="1"/>
        <v>-20.5</v>
      </c>
      <c r="G42" s="14">
        <f t="shared" si="2"/>
        <v>-7008.95</v>
      </c>
      <c r="I42" s="33" t="s">
        <v>69</v>
      </c>
      <c r="J42" s="128">
        <f>SUM(F23:F42)</f>
        <v>2666.3</v>
      </c>
      <c r="K42" s="100">
        <f>SUM(G23:G42)/J42</f>
        <v>357.1691333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25"/>
  </cols>
  <sheetData>
    <row r="1">
      <c r="A1" s="149" t="s">
        <v>0</v>
      </c>
      <c r="B1" s="149" t="s">
        <v>214</v>
      </c>
      <c r="C1" s="149" t="s">
        <v>215</v>
      </c>
      <c r="D1" s="149" t="s">
        <v>216</v>
      </c>
      <c r="E1" s="149" t="s">
        <v>217</v>
      </c>
      <c r="F1" s="149" t="s">
        <v>151</v>
      </c>
      <c r="G1" s="149" t="s">
        <v>3</v>
      </c>
    </row>
    <row r="2">
      <c r="A2" s="75">
        <v>45898.0</v>
      </c>
      <c r="B2" s="9">
        <v>1070.0</v>
      </c>
      <c r="C2" s="9">
        <v>48.17</v>
      </c>
      <c r="D2" s="9">
        <v>155.2</v>
      </c>
      <c r="E2" s="9">
        <v>0.0</v>
      </c>
      <c r="F2" s="9">
        <v>0.0</v>
      </c>
      <c r="G2" s="9">
        <v>0.0</v>
      </c>
    </row>
    <row r="3">
      <c r="A3" s="7">
        <v>45902.0</v>
      </c>
      <c r="B3" s="9">
        <v>1420.0</v>
      </c>
      <c r="C3" s="9">
        <v>42.01</v>
      </c>
      <c r="D3" s="9">
        <v>81.5</v>
      </c>
      <c r="E3" s="9">
        <v>0.0</v>
      </c>
      <c r="F3" s="9">
        <v>0.0</v>
      </c>
      <c r="G3" s="9">
        <v>0.0</v>
      </c>
    </row>
    <row r="4">
      <c r="A4" s="7">
        <v>45903.0</v>
      </c>
      <c r="B4" s="9">
        <v>-706.89</v>
      </c>
      <c r="C4" s="9">
        <v>32.89</v>
      </c>
      <c r="D4" s="9">
        <v>1600.0</v>
      </c>
      <c r="E4" s="9">
        <v>0.0</v>
      </c>
      <c r="F4" s="9">
        <v>0.0</v>
      </c>
      <c r="G4" s="9">
        <v>0.0</v>
      </c>
    </row>
    <row r="5">
      <c r="A5" s="7">
        <v>45904.0</v>
      </c>
      <c r="B5" s="9">
        <v>-261.93</v>
      </c>
      <c r="C5" s="9">
        <v>107.23</v>
      </c>
      <c r="D5" s="9">
        <v>63.4</v>
      </c>
      <c r="E5" s="9">
        <v>0.0</v>
      </c>
      <c r="F5" s="9">
        <v>0.0</v>
      </c>
      <c r="G5" s="9">
        <v>0.0</v>
      </c>
    </row>
    <row r="6">
      <c r="A6" s="7">
        <v>45905.0</v>
      </c>
      <c r="B6" s="9">
        <v>0.0</v>
      </c>
      <c r="C6" s="9">
        <v>237.28</v>
      </c>
      <c r="D6" s="9">
        <v>49.2</v>
      </c>
      <c r="E6" s="9">
        <v>0.0</v>
      </c>
      <c r="F6" s="9">
        <v>0.0</v>
      </c>
      <c r="G6" s="9">
        <v>0.0</v>
      </c>
    </row>
    <row r="7">
      <c r="A7" s="7">
        <v>45908.0</v>
      </c>
      <c r="B7" s="9">
        <v>-264.75</v>
      </c>
      <c r="C7" s="9">
        <v>91.45</v>
      </c>
      <c r="D7" s="9">
        <v>185.0</v>
      </c>
      <c r="E7" s="9">
        <v>3613.4</v>
      </c>
      <c r="F7" s="14">
        <f t="shared" ref="F7:F57" si="1">SUM(B7:D7)</f>
        <v>11.7</v>
      </c>
      <c r="G7" s="14">
        <f t="shared" ref="G7:G57" si="2">E7*F7</f>
        <v>42276.78</v>
      </c>
    </row>
    <row r="8">
      <c r="A8" s="7">
        <v>45909.0</v>
      </c>
      <c r="B8" s="9">
        <v>0.0</v>
      </c>
      <c r="C8" s="9">
        <v>249.88</v>
      </c>
      <c r="D8" s="9">
        <v>158.2</v>
      </c>
      <c r="E8" s="9">
        <v>3640.8</v>
      </c>
      <c r="F8" s="14">
        <f t="shared" si="1"/>
        <v>408.08</v>
      </c>
      <c r="G8" s="14">
        <f t="shared" si="2"/>
        <v>1485737.664</v>
      </c>
    </row>
    <row r="9">
      <c r="A9" s="7">
        <v>45910.0</v>
      </c>
      <c r="B9" s="9">
        <v>67.2</v>
      </c>
      <c r="C9" s="9">
        <v>37.83</v>
      </c>
      <c r="D9" s="9">
        <v>0.0</v>
      </c>
      <c r="E9" s="9">
        <v>3636.4</v>
      </c>
      <c r="F9" s="14">
        <f t="shared" si="1"/>
        <v>105.03</v>
      </c>
      <c r="G9" s="14">
        <f t="shared" si="2"/>
        <v>381931.092</v>
      </c>
    </row>
    <row r="10">
      <c r="A10" s="7">
        <v>45911.0</v>
      </c>
      <c r="B10" s="9">
        <v>-235.26</v>
      </c>
      <c r="C10" s="9">
        <v>151.36</v>
      </c>
      <c r="D10" s="9">
        <v>-325.3</v>
      </c>
      <c r="E10" s="9">
        <v>3635.2</v>
      </c>
      <c r="F10" s="14">
        <f t="shared" si="1"/>
        <v>-409.2</v>
      </c>
      <c r="G10" s="14">
        <f t="shared" si="2"/>
        <v>-1487523.84</v>
      </c>
    </row>
    <row r="11">
      <c r="A11" s="7">
        <v>45912.0</v>
      </c>
      <c r="B11" s="9">
        <v>-367.55</v>
      </c>
      <c r="C11" s="9">
        <v>37.62</v>
      </c>
      <c r="D11" s="9">
        <v>71.9</v>
      </c>
      <c r="E11" s="9">
        <v>3641.6</v>
      </c>
      <c r="F11" s="14">
        <f t="shared" si="1"/>
        <v>-258.03</v>
      </c>
      <c r="G11" s="14">
        <f t="shared" si="2"/>
        <v>-939642.048</v>
      </c>
    </row>
    <row r="12">
      <c r="A12" s="7">
        <v>45915.0</v>
      </c>
      <c r="B12" s="9">
        <v>235.28</v>
      </c>
      <c r="C12" s="9">
        <v>-27.52</v>
      </c>
      <c r="D12" s="9">
        <v>94.0</v>
      </c>
      <c r="E12" s="9">
        <v>3658.9</v>
      </c>
      <c r="F12" s="14">
        <f t="shared" si="1"/>
        <v>301.76</v>
      </c>
      <c r="G12" s="14">
        <f t="shared" si="2"/>
        <v>1104109.664</v>
      </c>
    </row>
    <row r="13">
      <c r="A13" s="7">
        <v>45916.0</v>
      </c>
      <c r="B13" s="9">
        <v>370.38</v>
      </c>
      <c r="C13" s="9">
        <v>0.0</v>
      </c>
      <c r="D13" s="9">
        <v>-391.1</v>
      </c>
      <c r="E13" s="9">
        <v>3687.0</v>
      </c>
      <c r="F13" s="14">
        <f t="shared" si="1"/>
        <v>-20.72</v>
      </c>
      <c r="G13" s="14">
        <f t="shared" si="2"/>
        <v>-76394.64</v>
      </c>
    </row>
    <row r="14">
      <c r="A14" s="7">
        <v>45917.0</v>
      </c>
      <c r="B14" s="9">
        <v>-510.27</v>
      </c>
      <c r="C14" s="9">
        <v>779.97</v>
      </c>
      <c r="D14" s="9">
        <v>0.0</v>
      </c>
      <c r="E14" s="9">
        <v>3676.3</v>
      </c>
      <c r="F14" s="14">
        <f t="shared" si="1"/>
        <v>269.7</v>
      </c>
      <c r="G14" s="14">
        <f t="shared" si="2"/>
        <v>991498.11</v>
      </c>
    </row>
    <row r="15">
      <c r="A15" s="7">
        <v>45918.0</v>
      </c>
      <c r="B15" s="9">
        <v>0.0</v>
      </c>
      <c r="C15" s="9">
        <v>277.48</v>
      </c>
      <c r="D15" s="9">
        <v>247.8</v>
      </c>
      <c r="E15" s="9">
        <v>3651.2</v>
      </c>
      <c r="F15" s="14">
        <f t="shared" si="1"/>
        <v>525.28</v>
      </c>
      <c r="G15" s="14">
        <f t="shared" si="2"/>
        <v>1917902.336</v>
      </c>
    </row>
    <row r="16">
      <c r="A16" s="7">
        <v>45919.0</v>
      </c>
      <c r="B16" s="9">
        <v>2210.0</v>
      </c>
      <c r="C16" s="9">
        <v>116.72</v>
      </c>
      <c r="D16" s="9">
        <v>-144.3</v>
      </c>
      <c r="E16" s="9">
        <v>3661.5</v>
      </c>
      <c r="F16" s="14">
        <f t="shared" si="1"/>
        <v>2182.42</v>
      </c>
      <c r="G16" s="14">
        <f t="shared" si="2"/>
        <v>7990930.83</v>
      </c>
    </row>
    <row r="17">
      <c r="A17" s="7">
        <v>45922.0</v>
      </c>
      <c r="B17" s="9">
        <v>708.12</v>
      </c>
      <c r="C17" s="9">
        <v>0.0</v>
      </c>
      <c r="D17" s="9">
        <v>145.1</v>
      </c>
      <c r="E17" s="9">
        <v>3716.6</v>
      </c>
      <c r="F17" s="14">
        <f t="shared" si="1"/>
        <v>853.22</v>
      </c>
      <c r="G17" s="14">
        <f t="shared" si="2"/>
        <v>3171077.452</v>
      </c>
    </row>
    <row r="18">
      <c r="A18" s="7">
        <v>45923.0</v>
      </c>
      <c r="B18" s="9">
        <v>0.0</v>
      </c>
      <c r="C18" s="9">
        <v>0.0</v>
      </c>
      <c r="D18" s="9">
        <v>0.0</v>
      </c>
      <c r="E18" s="9">
        <v>3759.8</v>
      </c>
      <c r="F18" s="14">
        <f t="shared" si="1"/>
        <v>0</v>
      </c>
      <c r="G18" s="14">
        <f t="shared" si="2"/>
        <v>0</v>
      </c>
    </row>
    <row r="19">
      <c r="A19" s="7">
        <v>45924.0</v>
      </c>
      <c r="B19" s="9">
        <v>-452.78</v>
      </c>
      <c r="C19" s="9">
        <v>327.98</v>
      </c>
      <c r="D19" s="9">
        <v>0.0</v>
      </c>
      <c r="E19" s="9">
        <v>3749.6</v>
      </c>
      <c r="F19" s="14">
        <f t="shared" si="1"/>
        <v>-124.8</v>
      </c>
      <c r="G19" s="14">
        <f t="shared" si="2"/>
        <v>-467950.08</v>
      </c>
    </row>
    <row r="20">
      <c r="A20" s="7">
        <v>45925.0</v>
      </c>
      <c r="B20" s="9">
        <v>0.0</v>
      </c>
      <c r="C20" s="9">
        <v>209.1</v>
      </c>
      <c r="D20" s="9">
        <v>134.1</v>
      </c>
      <c r="E20" s="9">
        <v>3743.2</v>
      </c>
      <c r="F20" s="14">
        <f t="shared" si="1"/>
        <v>343.2</v>
      </c>
      <c r="G20" s="14">
        <f t="shared" si="2"/>
        <v>1284666.24</v>
      </c>
    </row>
    <row r="21">
      <c r="A21" s="7">
        <v>45926.0</v>
      </c>
      <c r="B21" s="9">
        <v>1060.0</v>
      </c>
      <c r="C21" s="9">
        <v>0.0</v>
      </c>
      <c r="D21" s="9">
        <v>-384.1</v>
      </c>
      <c r="E21" s="9">
        <v>3756.3</v>
      </c>
      <c r="F21" s="14">
        <f t="shared" si="1"/>
        <v>675.9</v>
      </c>
      <c r="G21" s="14">
        <f t="shared" si="2"/>
        <v>2538883.17</v>
      </c>
    </row>
    <row r="22">
      <c r="A22" s="7">
        <v>45929.0</v>
      </c>
      <c r="B22" s="9">
        <v>728.7</v>
      </c>
      <c r="C22" s="9">
        <v>0.0</v>
      </c>
      <c r="D22" s="9">
        <v>149.3</v>
      </c>
      <c r="E22" s="9">
        <v>3799.0</v>
      </c>
      <c r="F22" s="14">
        <f t="shared" si="1"/>
        <v>878</v>
      </c>
      <c r="G22" s="14">
        <f t="shared" si="2"/>
        <v>3335522</v>
      </c>
    </row>
    <row r="23">
      <c r="A23" s="7">
        <v>45930.0</v>
      </c>
      <c r="B23" s="9">
        <v>140.9</v>
      </c>
      <c r="C23" s="9">
        <v>266.8</v>
      </c>
      <c r="D23" s="9">
        <v>0.0</v>
      </c>
      <c r="E23" s="9">
        <v>3839.0</v>
      </c>
      <c r="F23" s="14">
        <f t="shared" si="1"/>
        <v>407.7</v>
      </c>
      <c r="G23" s="14">
        <f t="shared" si="2"/>
        <v>1565160.3</v>
      </c>
    </row>
    <row r="24">
      <c r="A24" s="7">
        <v>45931.0</v>
      </c>
      <c r="B24" s="9">
        <v>739.4</v>
      </c>
      <c r="C24" s="9">
        <v>0.0</v>
      </c>
      <c r="D24" s="9">
        <v>151.5</v>
      </c>
      <c r="E24" s="9">
        <v>3868.6</v>
      </c>
      <c r="F24" s="14">
        <f t="shared" si="1"/>
        <v>890.9</v>
      </c>
      <c r="G24" s="14">
        <f t="shared" si="2"/>
        <v>3446535.74</v>
      </c>
    </row>
    <row r="25">
      <c r="A25" s="7">
        <v>45932.0</v>
      </c>
      <c r="B25" s="9">
        <v>-392.0</v>
      </c>
      <c r="C25" s="9">
        <v>160.5</v>
      </c>
      <c r="D25" s="9">
        <v>0.0</v>
      </c>
      <c r="E25" s="9">
        <v>3859.4</v>
      </c>
      <c r="F25" s="14">
        <f t="shared" si="1"/>
        <v>-231.5</v>
      </c>
      <c r="G25" s="14">
        <f t="shared" si="2"/>
        <v>-893451.1</v>
      </c>
    </row>
    <row r="26">
      <c r="A26" s="7">
        <v>45933.0</v>
      </c>
      <c r="B26" s="9">
        <v>-107.1</v>
      </c>
      <c r="C26" s="9">
        <v>160.8</v>
      </c>
      <c r="D26" s="9">
        <v>61.4</v>
      </c>
      <c r="E26" s="9">
        <v>3868.4</v>
      </c>
      <c r="F26" s="14">
        <f t="shared" si="1"/>
        <v>115.1</v>
      </c>
      <c r="G26" s="14">
        <f t="shared" si="2"/>
        <v>445252.84</v>
      </c>
    </row>
    <row r="27">
      <c r="A27" s="7">
        <v>45936.0</v>
      </c>
      <c r="B27" s="9">
        <v>-214.6</v>
      </c>
      <c r="C27" s="9">
        <v>98.9</v>
      </c>
      <c r="D27" s="9">
        <v>23.1</v>
      </c>
      <c r="E27" s="9">
        <v>3926.7</v>
      </c>
      <c r="F27" s="14">
        <f t="shared" si="1"/>
        <v>-92.6</v>
      </c>
      <c r="G27" s="14">
        <f t="shared" si="2"/>
        <v>-363612.42</v>
      </c>
    </row>
    <row r="28">
      <c r="A28" s="7">
        <v>45937.0</v>
      </c>
      <c r="B28" s="9">
        <v>36.4</v>
      </c>
      <c r="C28" s="9">
        <v>7.5</v>
      </c>
      <c r="D28" s="9">
        <v>140.8</v>
      </c>
      <c r="E28" s="9">
        <v>3969.3</v>
      </c>
      <c r="F28" s="14">
        <f t="shared" si="1"/>
        <v>184.7</v>
      </c>
      <c r="G28" s="14">
        <f t="shared" si="2"/>
        <v>733129.71</v>
      </c>
    </row>
    <row r="29">
      <c r="A29" s="7">
        <v>45938.0</v>
      </c>
      <c r="B29" s="9">
        <v>183.1</v>
      </c>
      <c r="C29" s="9">
        <v>0.0</v>
      </c>
      <c r="D29" s="9">
        <v>165.4</v>
      </c>
      <c r="E29" s="9">
        <v>4017.9</v>
      </c>
      <c r="F29" s="14">
        <f t="shared" si="1"/>
        <v>348.5</v>
      </c>
      <c r="G29" s="14">
        <f t="shared" si="2"/>
        <v>1400238.15</v>
      </c>
    </row>
    <row r="30">
      <c r="A30" s="7">
        <v>45939.0</v>
      </c>
      <c r="B30" s="9">
        <v>-148.7</v>
      </c>
      <c r="C30" s="9">
        <v>45.7</v>
      </c>
      <c r="D30" s="9">
        <v>0.0</v>
      </c>
      <c r="E30" s="9">
        <v>4003.89</v>
      </c>
      <c r="F30" s="14">
        <f t="shared" si="1"/>
        <v>-103</v>
      </c>
      <c r="G30" s="14">
        <f t="shared" si="2"/>
        <v>-412400.67</v>
      </c>
    </row>
    <row r="31">
      <c r="A31" s="7">
        <v>45940.0</v>
      </c>
      <c r="B31" s="9">
        <v>480.9</v>
      </c>
      <c r="C31" s="9">
        <v>0.0</v>
      </c>
      <c r="D31" s="9">
        <v>0.0</v>
      </c>
      <c r="E31" s="9">
        <v>3991.0</v>
      </c>
      <c r="F31" s="14">
        <f t="shared" si="1"/>
        <v>480.9</v>
      </c>
      <c r="G31" s="14">
        <f t="shared" si="2"/>
        <v>1919271.9</v>
      </c>
    </row>
    <row r="32">
      <c r="A32" s="7">
        <v>45943.0</v>
      </c>
      <c r="B32" s="9">
        <v>219.5</v>
      </c>
      <c r="C32" s="9">
        <v>0.0</v>
      </c>
      <c r="D32" s="9">
        <v>0.0</v>
      </c>
      <c r="E32" s="9">
        <v>4060.88</v>
      </c>
      <c r="F32" s="14">
        <f t="shared" si="1"/>
        <v>219.5</v>
      </c>
      <c r="G32" s="14">
        <f t="shared" si="2"/>
        <v>891363.16</v>
      </c>
      <c r="I32" s="157"/>
      <c r="J32" s="157"/>
      <c r="K32" s="157"/>
      <c r="M32" s="157"/>
      <c r="N32" s="157"/>
      <c r="O32" s="157"/>
    </row>
    <row r="33">
      <c r="A33" s="7">
        <v>45944.0</v>
      </c>
      <c r="B33" s="9">
        <v>339.3</v>
      </c>
      <c r="C33" s="9">
        <v>351.1</v>
      </c>
      <c r="D33" s="9">
        <v>48.7</v>
      </c>
      <c r="E33" s="9">
        <v>4137.56</v>
      </c>
      <c r="F33" s="14">
        <f t="shared" si="1"/>
        <v>739.1</v>
      </c>
      <c r="G33" s="14">
        <f t="shared" si="2"/>
        <v>3058070.596</v>
      </c>
      <c r="I33" s="158"/>
      <c r="J33" s="158"/>
      <c r="K33" s="158"/>
      <c r="M33" s="78"/>
      <c r="N33" s="115"/>
      <c r="O33" s="83"/>
    </row>
    <row r="34">
      <c r="A34" s="7">
        <v>45945.0</v>
      </c>
      <c r="B34" s="9">
        <v>151.9</v>
      </c>
      <c r="C34" s="9">
        <v>73.9</v>
      </c>
      <c r="D34" s="9">
        <v>163.4</v>
      </c>
      <c r="E34" s="9">
        <v>4188.97</v>
      </c>
      <c r="F34" s="14">
        <f t="shared" si="1"/>
        <v>389.2</v>
      </c>
      <c r="G34" s="14">
        <f t="shared" si="2"/>
        <v>1630347.124</v>
      </c>
      <c r="I34" s="159"/>
      <c r="J34" s="159"/>
      <c r="K34" s="159"/>
      <c r="M34" s="81"/>
      <c r="N34" s="81"/>
      <c r="O34" s="81"/>
    </row>
    <row r="35">
      <c r="A35" s="7">
        <v>45946.0</v>
      </c>
      <c r="B35" s="9">
        <v>1600.0</v>
      </c>
      <c r="C35" s="9">
        <v>114.9</v>
      </c>
      <c r="D35" s="9">
        <v>391.3</v>
      </c>
      <c r="E35" s="9">
        <v>4285.64</v>
      </c>
      <c r="F35" s="14">
        <f t="shared" si="1"/>
        <v>2106.2</v>
      </c>
      <c r="G35" s="14">
        <f t="shared" si="2"/>
        <v>9026414.968</v>
      </c>
      <c r="I35" s="158"/>
      <c r="J35" s="158"/>
      <c r="K35" s="160"/>
      <c r="M35" s="78"/>
      <c r="N35" s="115"/>
      <c r="O35" s="83"/>
    </row>
    <row r="36">
      <c r="A36" s="7">
        <v>45947.0</v>
      </c>
      <c r="B36" s="9">
        <v>1700.0</v>
      </c>
      <c r="C36" s="9">
        <v>-224.8</v>
      </c>
      <c r="D36" s="9">
        <v>0.0</v>
      </c>
      <c r="E36" s="9">
        <v>4273.6</v>
      </c>
      <c r="F36" s="14">
        <f t="shared" si="1"/>
        <v>1475.2</v>
      </c>
      <c r="G36" s="14">
        <f t="shared" si="2"/>
        <v>6304414.72</v>
      </c>
      <c r="I36" s="159"/>
      <c r="J36" s="159"/>
      <c r="K36" s="160"/>
      <c r="M36" s="81"/>
      <c r="N36" s="81"/>
      <c r="O36" s="81"/>
    </row>
    <row r="37">
      <c r="A37" s="7">
        <v>45950.0</v>
      </c>
      <c r="B37" s="9">
        <v>1600.0</v>
      </c>
      <c r="C37" s="9">
        <v>47.8</v>
      </c>
      <c r="D37" s="9">
        <v>0.0</v>
      </c>
      <c r="E37" s="9">
        <v>4318.78</v>
      </c>
      <c r="F37" s="14">
        <f t="shared" si="1"/>
        <v>1647.8</v>
      </c>
      <c r="G37" s="14">
        <f t="shared" si="2"/>
        <v>7116485.684</v>
      </c>
      <c r="I37" s="158"/>
      <c r="J37" s="158"/>
      <c r="K37" s="160"/>
      <c r="M37" s="78"/>
      <c r="N37" s="115"/>
      <c r="O37" s="83"/>
    </row>
    <row r="38">
      <c r="A38" s="7">
        <v>45951.0</v>
      </c>
      <c r="B38" s="9">
        <v>0.0</v>
      </c>
      <c r="C38" s="9">
        <v>121.4</v>
      </c>
      <c r="D38" s="9">
        <v>136.0</v>
      </c>
      <c r="E38" s="9">
        <v>4193.82</v>
      </c>
      <c r="F38" s="14">
        <f t="shared" si="1"/>
        <v>257.4</v>
      </c>
      <c r="G38" s="14">
        <f t="shared" si="2"/>
        <v>1079489.268</v>
      </c>
      <c r="I38" s="159"/>
      <c r="J38" s="159"/>
      <c r="K38" s="160"/>
    </row>
    <row r="39">
      <c r="A39" s="7">
        <v>45952.0</v>
      </c>
      <c r="B39" s="9">
        <v>-844.1</v>
      </c>
      <c r="C39" s="9">
        <v>0.0</v>
      </c>
      <c r="D39" s="9">
        <v>-66.0</v>
      </c>
      <c r="E39" s="9">
        <v>4088.4</v>
      </c>
      <c r="F39" s="14">
        <f t="shared" si="1"/>
        <v>-910.1</v>
      </c>
      <c r="G39" s="14">
        <f t="shared" si="2"/>
        <v>-3720852.84</v>
      </c>
      <c r="I39" s="159"/>
      <c r="J39" s="159"/>
      <c r="K39" s="160"/>
    </row>
    <row r="40">
      <c r="A40" s="7">
        <v>45953.0</v>
      </c>
      <c r="B40" s="9">
        <v>0.0</v>
      </c>
      <c r="C40" s="9">
        <v>-421.7</v>
      </c>
      <c r="D40" s="9">
        <v>0.0</v>
      </c>
      <c r="E40" s="9">
        <v>4115.58</v>
      </c>
      <c r="F40" s="14">
        <f t="shared" si="1"/>
        <v>-421.7</v>
      </c>
      <c r="G40" s="14">
        <f t="shared" si="2"/>
        <v>-1735540.086</v>
      </c>
      <c r="I40" s="159"/>
      <c r="J40" s="159"/>
      <c r="K40" s="160"/>
    </row>
    <row r="41">
      <c r="A41" s="7">
        <v>45954.0</v>
      </c>
      <c r="B41" s="9">
        <v>-724.5</v>
      </c>
      <c r="C41" s="9">
        <v>-124.9</v>
      </c>
      <c r="D41" s="9">
        <v>0.0</v>
      </c>
      <c r="E41" s="9">
        <v>4100.72</v>
      </c>
      <c r="F41" s="14">
        <f t="shared" si="1"/>
        <v>-849.4</v>
      </c>
      <c r="G41" s="14">
        <f t="shared" si="2"/>
        <v>-3483151.568</v>
      </c>
      <c r="I41" s="159"/>
      <c r="J41" s="159"/>
      <c r="K41" s="160"/>
    </row>
    <row r="42">
      <c r="A42" s="7">
        <v>45957.0</v>
      </c>
      <c r="B42" s="9">
        <v>-1100.0</v>
      </c>
      <c r="C42" s="9">
        <v>-23.2</v>
      </c>
      <c r="D42" s="9">
        <v>0.0</v>
      </c>
      <c r="E42" s="9">
        <v>4020.0</v>
      </c>
      <c r="F42" s="14">
        <f t="shared" si="1"/>
        <v>-1123.2</v>
      </c>
      <c r="G42" s="14">
        <f t="shared" si="2"/>
        <v>-4515264</v>
      </c>
      <c r="I42" s="159"/>
      <c r="J42" s="159"/>
      <c r="K42" s="160"/>
    </row>
    <row r="43">
      <c r="A43" s="7">
        <v>45958.0</v>
      </c>
      <c r="B43" s="9">
        <v>0.0</v>
      </c>
      <c r="C43" s="9">
        <v>-97.3</v>
      </c>
      <c r="D43" s="9">
        <v>-157.2</v>
      </c>
      <c r="E43" s="9">
        <v>3953.1</v>
      </c>
      <c r="F43" s="14">
        <f t="shared" si="1"/>
        <v>-254.5</v>
      </c>
      <c r="G43" s="14">
        <f t="shared" si="2"/>
        <v>-1006063.95</v>
      </c>
      <c r="I43" s="159"/>
      <c r="J43" s="159"/>
      <c r="K43" s="160"/>
    </row>
    <row r="44">
      <c r="A44" s="7">
        <v>45959.0</v>
      </c>
      <c r="B44" s="9">
        <v>-363.3</v>
      </c>
      <c r="C44" s="9">
        <v>-40.9</v>
      </c>
      <c r="D44" s="9">
        <v>0.0</v>
      </c>
      <c r="E44" s="9">
        <v>3956.3</v>
      </c>
      <c r="F44" s="14">
        <f t="shared" si="1"/>
        <v>-404.2</v>
      </c>
      <c r="G44" s="14">
        <f t="shared" si="2"/>
        <v>-1599136.46</v>
      </c>
      <c r="I44" s="159"/>
      <c r="J44" s="159"/>
      <c r="K44" s="160"/>
    </row>
    <row r="45">
      <c r="A45" s="7">
        <v>45960.0</v>
      </c>
      <c r="B45" s="9">
        <v>553.0</v>
      </c>
      <c r="C45" s="9">
        <v>0.0</v>
      </c>
      <c r="D45" s="9">
        <v>0.0</v>
      </c>
      <c r="E45" s="9">
        <v>3989.1</v>
      </c>
      <c r="F45" s="14">
        <f t="shared" si="1"/>
        <v>553</v>
      </c>
      <c r="G45" s="14">
        <f t="shared" si="2"/>
        <v>2205972.3</v>
      </c>
      <c r="I45" s="159"/>
      <c r="J45" s="159"/>
      <c r="K45" s="160"/>
    </row>
    <row r="46">
      <c r="A46" s="7">
        <v>45961.0</v>
      </c>
      <c r="B46" s="9">
        <v>-147.0</v>
      </c>
      <c r="C46" s="9">
        <v>0.0</v>
      </c>
      <c r="D46" s="9">
        <v>0.0</v>
      </c>
      <c r="E46" s="9">
        <v>4007.23</v>
      </c>
      <c r="F46" s="14">
        <f t="shared" si="1"/>
        <v>-147</v>
      </c>
      <c r="G46" s="14">
        <f t="shared" si="2"/>
        <v>-589062.81</v>
      </c>
      <c r="I46" s="161"/>
      <c r="J46" s="161"/>
      <c r="K46" s="162"/>
    </row>
    <row r="47">
      <c r="A47" s="7">
        <v>45964.0</v>
      </c>
      <c r="B47" s="9">
        <v>322.2</v>
      </c>
      <c r="C47" s="9">
        <v>0.0</v>
      </c>
      <c r="D47" s="9">
        <v>-238.3</v>
      </c>
      <c r="E47" s="9">
        <v>3998.23</v>
      </c>
      <c r="F47" s="14">
        <f t="shared" si="1"/>
        <v>83.9</v>
      </c>
      <c r="G47" s="14">
        <f t="shared" si="2"/>
        <v>335451.497</v>
      </c>
      <c r="I47" s="91"/>
      <c r="J47" s="121"/>
      <c r="K47" s="93"/>
    </row>
    <row r="48">
      <c r="A48" s="7">
        <v>45965.0</v>
      </c>
      <c r="B48" s="9">
        <v>-407.4</v>
      </c>
      <c r="C48" s="9">
        <v>-166.8</v>
      </c>
      <c r="D48" s="9">
        <v>0.0</v>
      </c>
      <c r="E48" s="9">
        <v>3955.35</v>
      </c>
      <c r="F48" s="14">
        <f t="shared" si="1"/>
        <v>-574.2</v>
      </c>
      <c r="G48" s="14">
        <f t="shared" si="2"/>
        <v>-2271161.97</v>
      </c>
      <c r="I48" s="94"/>
      <c r="J48" s="94"/>
      <c r="K48" s="96"/>
    </row>
    <row r="49">
      <c r="A49" s="7">
        <v>45966.0</v>
      </c>
      <c r="B49" s="9">
        <v>0.0</v>
      </c>
      <c r="C49" s="9">
        <v>0.0</v>
      </c>
      <c r="D49" s="9">
        <v>-46.9</v>
      </c>
      <c r="E49" s="9">
        <v>3966.67</v>
      </c>
      <c r="F49" s="14">
        <f t="shared" si="1"/>
        <v>-46.9</v>
      </c>
      <c r="G49" s="14">
        <f t="shared" si="2"/>
        <v>-186036.823</v>
      </c>
      <c r="I49" s="91"/>
      <c r="J49" s="121"/>
      <c r="K49" s="93"/>
    </row>
    <row r="50">
      <c r="A50" s="7">
        <v>45967.0</v>
      </c>
      <c r="B50" s="9">
        <v>219.1</v>
      </c>
      <c r="C50" s="9">
        <v>0.0</v>
      </c>
      <c r="D50" s="9">
        <v>0.0</v>
      </c>
      <c r="E50" s="9">
        <v>3987.08</v>
      </c>
      <c r="F50" s="14">
        <f t="shared" si="1"/>
        <v>219.1</v>
      </c>
      <c r="G50" s="14">
        <f t="shared" si="2"/>
        <v>873569.228</v>
      </c>
      <c r="I50" s="94"/>
      <c r="J50" s="94"/>
      <c r="K50" s="96"/>
    </row>
    <row r="51">
      <c r="A51" s="7">
        <v>45968.0</v>
      </c>
      <c r="B51" s="9">
        <v>220.1</v>
      </c>
      <c r="C51" s="9">
        <v>30.0</v>
      </c>
      <c r="D51" s="9">
        <v>0.0</v>
      </c>
      <c r="E51" s="9">
        <v>4002.43</v>
      </c>
      <c r="F51" s="14">
        <f t="shared" si="1"/>
        <v>250.1</v>
      </c>
      <c r="G51" s="14">
        <f t="shared" si="2"/>
        <v>1001007.743</v>
      </c>
      <c r="I51" s="161"/>
      <c r="J51" s="161"/>
      <c r="K51" s="162"/>
      <c r="M51" s="163" t="s">
        <v>218</v>
      </c>
      <c r="N51" s="163" t="s">
        <v>65</v>
      </c>
      <c r="O51" s="163" t="s">
        <v>66</v>
      </c>
    </row>
    <row r="52">
      <c r="A52" s="7">
        <v>45971.0</v>
      </c>
      <c r="B52" s="9">
        <v>0.0</v>
      </c>
      <c r="C52" s="9">
        <v>60.2</v>
      </c>
      <c r="D52" s="9">
        <v>0.0</v>
      </c>
      <c r="E52" s="9">
        <v>4078.81</v>
      </c>
      <c r="F52" s="14">
        <f t="shared" si="1"/>
        <v>60.2</v>
      </c>
      <c r="G52" s="14">
        <f t="shared" si="2"/>
        <v>245544.362</v>
      </c>
      <c r="I52" s="163" t="s">
        <v>218</v>
      </c>
      <c r="J52" s="163" t="s">
        <v>65</v>
      </c>
      <c r="K52" s="164" t="s">
        <v>66</v>
      </c>
      <c r="M52" s="33" t="s">
        <v>145</v>
      </c>
      <c r="N52" s="126">
        <v>-296.7</v>
      </c>
      <c r="O52" s="103">
        <v>4053.21</v>
      </c>
    </row>
    <row r="53">
      <c r="A53" s="7">
        <v>45972.0</v>
      </c>
      <c r="B53" s="9">
        <v>564.5</v>
      </c>
      <c r="C53" s="9">
        <v>0.0</v>
      </c>
      <c r="D53" s="9">
        <v>0.0</v>
      </c>
      <c r="E53" s="9">
        <v>4124.28</v>
      </c>
      <c r="F53" s="14">
        <f t="shared" si="1"/>
        <v>564.5</v>
      </c>
      <c r="G53" s="14">
        <f t="shared" si="2"/>
        <v>2328156.06</v>
      </c>
      <c r="I53" s="33" t="s">
        <v>145</v>
      </c>
      <c r="J53" s="128">
        <f>F57</f>
        <v>-296.7</v>
      </c>
      <c r="K53" s="100">
        <f>E57</f>
        <v>4053.21</v>
      </c>
      <c r="M53" s="36"/>
      <c r="N53" s="36"/>
      <c r="O53" s="36"/>
    </row>
    <row r="54">
      <c r="A54" s="7">
        <v>45973.0</v>
      </c>
      <c r="B54" s="9">
        <v>37.7</v>
      </c>
      <c r="C54" s="9">
        <v>77.7</v>
      </c>
      <c r="D54" s="9">
        <v>0.0</v>
      </c>
      <c r="E54" s="9">
        <v>4168.64</v>
      </c>
      <c r="F54" s="14">
        <f t="shared" si="1"/>
        <v>115.4</v>
      </c>
      <c r="G54" s="14">
        <f t="shared" si="2"/>
        <v>481061.056</v>
      </c>
      <c r="I54" s="36"/>
      <c r="J54" s="36"/>
      <c r="K54" s="54"/>
      <c r="M54" s="33" t="s">
        <v>68</v>
      </c>
      <c r="N54" s="131">
        <v>251.3</v>
      </c>
      <c r="O54" s="103">
        <v>4345.74</v>
      </c>
    </row>
    <row r="55">
      <c r="A55" s="7">
        <v>45974.0</v>
      </c>
      <c r="B55" s="9">
        <v>304.5</v>
      </c>
      <c r="C55" s="9">
        <v>50.7</v>
      </c>
      <c r="D55" s="9">
        <v>0.0</v>
      </c>
      <c r="E55" s="9">
        <v>4187.37</v>
      </c>
      <c r="F55" s="14">
        <f t="shared" si="1"/>
        <v>355.2</v>
      </c>
      <c r="G55" s="14">
        <f t="shared" si="2"/>
        <v>1487353.824</v>
      </c>
      <c r="I55" s="33" t="s">
        <v>68</v>
      </c>
      <c r="J55" s="128">
        <f>SUM(F53:F57)</f>
        <v>251.3</v>
      </c>
      <c r="K55" s="100">
        <f>SUM(G53:G57)/J55</f>
        <v>4345.743494</v>
      </c>
      <c r="M55" s="36"/>
      <c r="N55" s="36"/>
      <c r="O55" s="36"/>
    </row>
    <row r="56">
      <c r="A56" s="7">
        <v>45975.0</v>
      </c>
      <c r="B56" s="9">
        <v>-617.5</v>
      </c>
      <c r="C56" s="9">
        <v>130.4</v>
      </c>
      <c r="D56" s="9">
        <v>0.0</v>
      </c>
      <c r="E56" s="9">
        <v>4109.83</v>
      </c>
      <c r="F56" s="14">
        <f t="shared" si="1"/>
        <v>-487.1</v>
      </c>
      <c r="G56" s="14">
        <f t="shared" si="2"/>
        <v>-2001898.193</v>
      </c>
      <c r="I56" s="36"/>
      <c r="J56" s="36"/>
      <c r="K56" s="54"/>
      <c r="M56" s="33" t="s">
        <v>69</v>
      </c>
      <c r="N56" s="126">
        <v>-3056.2</v>
      </c>
      <c r="O56" s="103">
        <v>4015.82</v>
      </c>
    </row>
    <row r="57">
      <c r="A57" s="7">
        <v>45978.0</v>
      </c>
      <c r="B57" s="9">
        <v>-337.0</v>
      </c>
      <c r="C57" s="9">
        <v>0.0</v>
      </c>
      <c r="D57" s="9">
        <v>40.3</v>
      </c>
      <c r="E57" s="9">
        <v>4053.21</v>
      </c>
      <c r="F57" s="14">
        <f t="shared" si="1"/>
        <v>-296.7</v>
      </c>
      <c r="G57" s="14">
        <f t="shared" si="2"/>
        <v>-1202587.407</v>
      </c>
      <c r="I57" s="33" t="s">
        <v>69</v>
      </c>
      <c r="J57" s="128">
        <f>SUM(F38:F57)</f>
        <v>-3056.2</v>
      </c>
      <c r="K57" s="100">
        <f>SUM(G38:G57)/J57</f>
        <v>4015.820551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9" t="s">
        <v>0</v>
      </c>
      <c r="B1" s="110" t="s">
        <v>219</v>
      </c>
      <c r="C1" s="110" t="s">
        <v>220</v>
      </c>
      <c r="D1" s="110" t="s">
        <v>221</v>
      </c>
      <c r="E1" s="110" t="s">
        <v>222</v>
      </c>
      <c r="F1" s="110" t="s">
        <v>223</v>
      </c>
      <c r="G1" s="110" t="s">
        <v>151</v>
      </c>
      <c r="H1" s="110" t="s">
        <v>3</v>
      </c>
    </row>
    <row r="2">
      <c r="A2" s="7">
        <v>45910.0</v>
      </c>
      <c r="B2" s="9">
        <v>0.0</v>
      </c>
      <c r="C2" s="9">
        <v>37.3</v>
      </c>
      <c r="D2" s="9">
        <v>-6.0</v>
      </c>
      <c r="E2" s="9">
        <v>0.0</v>
      </c>
      <c r="F2" s="9">
        <v>0.0</v>
      </c>
      <c r="G2" s="9">
        <f t="shared" ref="G2:G4" si="1">SUM(B2:C2)</f>
        <v>37.3</v>
      </c>
      <c r="H2" s="9">
        <f t="shared" ref="H2:H50" si="2">G2*F2</f>
        <v>0</v>
      </c>
    </row>
    <row r="3">
      <c r="A3" s="7">
        <v>45911.0</v>
      </c>
      <c r="B3" s="9">
        <v>0.0</v>
      </c>
      <c r="C3" s="9">
        <v>0.0</v>
      </c>
      <c r="D3" s="9">
        <v>0.0</v>
      </c>
      <c r="E3" s="9">
        <v>4.0</v>
      </c>
      <c r="F3" s="9">
        <v>0.0</v>
      </c>
      <c r="G3" s="9">
        <f t="shared" si="1"/>
        <v>0</v>
      </c>
      <c r="H3" s="9">
        <f t="shared" si="2"/>
        <v>0</v>
      </c>
    </row>
    <row r="4">
      <c r="A4" s="7">
        <v>45912.0</v>
      </c>
      <c r="B4" s="9">
        <v>-11.2</v>
      </c>
      <c r="C4" s="9">
        <v>12.1</v>
      </c>
      <c r="D4" s="9">
        <f>46.5*2</f>
        <v>93</v>
      </c>
      <c r="E4" s="9">
        <v>-2.0</v>
      </c>
      <c r="F4" s="9">
        <v>0.0</v>
      </c>
      <c r="G4" s="9">
        <f t="shared" si="1"/>
        <v>0.9</v>
      </c>
      <c r="H4" s="9">
        <f t="shared" si="2"/>
        <v>0</v>
      </c>
    </row>
    <row r="5">
      <c r="A5" s="7">
        <v>45915.0</v>
      </c>
      <c r="B5" s="9">
        <v>126.6</v>
      </c>
      <c r="C5" s="9">
        <v>0.0</v>
      </c>
      <c r="D5" s="9">
        <v>0.0</v>
      </c>
      <c r="E5" s="9">
        <v>0.0</v>
      </c>
      <c r="F5" s="9">
        <v>42.4</v>
      </c>
      <c r="G5" s="9">
        <f t="shared" ref="G5:G50" si="3">SUM(B5:E5)</f>
        <v>126.6</v>
      </c>
      <c r="H5" s="9">
        <f t="shared" si="2"/>
        <v>5367.84</v>
      </c>
    </row>
    <row r="6">
      <c r="A6" s="7">
        <v>45916.0</v>
      </c>
      <c r="B6" s="9">
        <v>88.1</v>
      </c>
      <c r="C6" s="9">
        <v>0.0</v>
      </c>
      <c r="D6" s="9">
        <v>0.0</v>
      </c>
      <c r="E6" s="9">
        <f>-3.7*2</f>
        <v>-7.4</v>
      </c>
      <c r="F6" s="9">
        <v>42.61</v>
      </c>
      <c r="G6" s="9">
        <f t="shared" si="3"/>
        <v>80.7</v>
      </c>
      <c r="H6" s="9">
        <f t="shared" si="2"/>
        <v>3438.627</v>
      </c>
    </row>
    <row r="7">
      <c r="A7" s="7">
        <v>45917.0</v>
      </c>
      <c r="B7" s="9">
        <v>-38.8</v>
      </c>
      <c r="C7" s="9">
        <v>32.5</v>
      </c>
      <c r="D7" s="9">
        <v>-45.0</v>
      </c>
      <c r="E7" s="9">
        <v>1.8</v>
      </c>
      <c r="F7" s="9">
        <v>42.0</v>
      </c>
      <c r="G7" s="9">
        <f t="shared" si="3"/>
        <v>-49.5</v>
      </c>
      <c r="H7" s="9">
        <f t="shared" si="2"/>
        <v>-2079</v>
      </c>
    </row>
    <row r="8">
      <c r="A8" s="7">
        <v>45918.0</v>
      </c>
      <c r="B8" s="9">
        <v>20.6</v>
      </c>
      <c r="C8" s="9">
        <v>0.0</v>
      </c>
      <c r="D8" s="9">
        <v>-31.0</v>
      </c>
      <c r="E8" s="9">
        <v>3.8</v>
      </c>
      <c r="F8" s="9">
        <v>41.66</v>
      </c>
      <c r="G8" s="9">
        <f t="shared" si="3"/>
        <v>-6.6</v>
      </c>
      <c r="H8" s="9">
        <f t="shared" si="2"/>
        <v>-274.956</v>
      </c>
    </row>
    <row r="9">
      <c r="A9" s="7">
        <v>45919.0</v>
      </c>
      <c r="B9" s="9">
        <v>0.0</v>
      </c>
      <c r="C9" s="9">
        <v>0.0</v>
      </c>
      <c r="D9" s="9">
        <v>0.0</v>
      </c>
      <c r="E9" s="9">
        <v>-3.8</v>
      </c>
      <c r="F9" s="9">
        <v>42.41</v>
      </c>
      <c r="G9" s="9">
        <f t="shared" si="3"/>
        <v>-3.8</v>
      </c>
      <c r="H9" s="9">
        <f t="shared" si="2"/>
        <v>-161.158</v>
      </c>
    </row>
    <row r="10">
      <c r="A10" s="7">
        <v>45922.0</v>
      </c>
      <c r="B10" s="9">
        <v>222.4</v>
      </c>
      <c r="C10" s="9">
        <v>20.1</v>
      </c>
      <c r="D10" s="9">
        <v>64.2</v>
      </c>
      <c r="E10" s="9">
        <v>0.0</v>
      </c>
      <c r="F10" s="9">
        <v>43.58</v>
      </c>
      <c r="G10" s="9">
        <f t="shared" si="3"/>
        <v>306.7</v>
      </c>
      <c r="H10" s="9">
        <f t="shared" si="2"/>
        <v>13365.986</v>
      </c>
    </row>
    <row r="11">
      <c r="A11" s="7">
        <v>45923.0</v>
      </c>
      <c r="B11" s="9">
        <v>140.9</v>
      </c>
      <c r="C11" s="9">
        <v>16.7</v>
      </c>
      <c r="D11" s="9">
        <v>40.8</v>
      </c>
      <c r="E11" s="9">
        <v>-1.8</v>
      </c>
      <c r="F11" s="9">
        <v>44.04</v>
      </c>
      <c r="G11" s="9">
        <f t="shared" si="3"/>
        <v>196.6</v>
      </c>
      <c r="H11" s="9">
        <f t="shared" si="2"/>
        <v>8658.264</v>
      </c>
    </row>
    <row r="12">
      <c r="A12" s="7">
        <v>45924.0</v>
      </c>
      <c r="B12" s="9">
        <v>0.0</v>
      </c>
      <c r="C12" s="9">
        <v>0.0</v>
      </c>
      <c r="D12" s="9">
        <f>-6.9*2</f>
        <v>-13.8</v>
      </c>
      <c r="E12" s="9">
        <v>-8.6</v>
      </c>
      <c r="F12" s="9">
        <v>43.99</v>
      </c>
      <c r="G12" s="9">
        <f t="shared" si="3"/>
        <v>-22.4</v>
      </c>
      <c r="H12" s="9">
        <f t="shared" si="2"/>
        <v>-985.376</v>
      </c>
    </row>
    <row r="13">
      <c r="A13" s="7">
        <v>45925.0</v>
      </c>
      <c r="B13" s="9">
        <v>-111.5</v>
      </c>
      <c r="C13" s="9">
        <v>0.0</v>
      </c>
      <c r="D13" s="9">
        <v>0.0</v>
      </c>
      <c r="E13" s="9">
        <v>-3.4</v>
      </c>
      <c r="F13" s="9">
        <v>44.52</v>
      </c>
      <c r="G13" s="9">
        <f t="shared" si="3"/>
        <v>-114.9</v>
      </c>
      <c r="H13" s="9">
        <f t="shared" si="2"/>
        <v>-5115.348</v>
      </c>
    </row>
    <row r="14">
      <c r="A14" s="7">
        <v>45926.0</v>
      </c>
      <c r="B14" s="9">
        <v>-40.8</v>
      </c>
      <c r="C14" s="9">
        <v>15.0</v>
      </c>
      <c r="D14" s="9">
        <f>24.8*2</f>
        <v>49.6</v>
      </c>
      <c r="E14" s="9">
        <v>-10.0</v>
      </c>
      <c r="F14" s="9">
        <v>45.61</v>
      </c>
      <c r="G14" s="9">
        <f t="shared" si="3"/>
        <v>13.8</v>
      </c>
      <c r="H14" s="9">
        <f t="shared" si="2"/>
        <v>629.418</v>
      </c>
    </row>
    <row r="15">
      <c r="A15" s="7">
        <v>45929.0</v>
      </c>
      <c r="B15" s="9">
        <v>230.8</v>
      </c>
      <c r="C15" s="9">
        <v>12.9</v>
      </c>
      <c r="D15" s="9">
        <f>-18.9*2</f>
        <v>-37.8</v>
      </c>
      <c r="E15" s="9">
        <v>0.0</v>
      </c>
      <c r="F15" s="9">
        <v>46.56</v>
      </c>
      <c r="G15" s="9">
        <f t="shared" si="3"/>
        <v>205.9</v>
      </c>
      <c r="H15" s="9">
        <f t="shared" si="2"/>
        <v>9586.704</v>
      </c>
    </row>
    <row r="16">
      <c r="A16" s="7">
        <v>45930.0</v>
      </c>
      <c r="B16" s="9">
        <v>247.1</v>
      </c>
      <c r="C16" s="9">
        <v>0.0</v>
      </c>
      <c r="D16" s="9">
        <f>-30.8*2</f>
        <v>-61.6</v>
      </c>
      <c r="E16" s="144">
        <v>3.0</v>
      </c>
      <c r="F16" s="9">
        <v>46.64</v>
      </c>
      <c r="G16" s="9">
        <f t="shared" si="3"/>
        <v>188.5</v>
      </c>
      <c r="H16" s="9">
        <f t="shared" si="2"/>
        <v>8791.64</v>
      </c>
    </row>
    <row r="17">
      <c r="A17" s="7">
        <v>45931.0</v>
      </c>
      <c r="B17" s="9">
        <v>-62.9</v>
      </c>
      <c r="C17" s="9">
        <v>0.0</v>
      </c>
      <c r="D17" s="9">
        <v>0.0</v>
      </c>
      <c r="E17" s="165">
        <v>-3.2</v>
      </c>
      <c r="F17" s="9">
        <v>47.11</v>
      </c>
      <c r="G17" s="9">
        <f t="shared" si="3"/>
        <v>-66.1</v>
      </c>
      <c r="H17" s="9">
        <f t="shared" si="2"/>
        <v>-3113.971</v>
      </c>
      <c r="I17" s="9" t="s">
        <v>224</v>
      </c>
    </row>
    <row r="18">
      <c r="A18" s="7">
        <v>45932.0</v>
      </c>
      <c r="B18" s="9">
        <v>-347.6</v>
      </c>
      <c r="C18" s="9">
        <v>0.0</v>
      </c>
      <c r="D18" s="9">
        <f>-19.8*2</f>
        <v>-39.6</v>
      </c>
      <c r="E18" s="9">
        <v>0.0</v>
      </c>
      <c r="F18" s="9">
        <v>47.06</v>
      </c>
      <c r="G18" s="9">
        <f t="shared" si="3"/>
        <v>-387.2</v>
      </c>
      <c r="H18" s="9">
        <f t="shared" si="2"/>
        <v>-18221.632</v>
      </c>
    </row>
    <row r="19">
      <c r="A19" s="7">
        <v>45933.0</v>
      </c>
      <c r="B19" s="9">
        <v>-363.5</v>
      </c>
      <c r="C19" s="9">
        <v>0.0</v>
      </c>
      <c r="D19" s="9">
        <f>33.6*2</f>
        <v>67.2</v>
      </c>
      <c r="E19" s="9">
        <v>-12.4</v>
      </c>
      <c r="F19" s="9">
        <v>47.49</v>
      </c>
      <c r="G19" s="9">
        <f t="shared" si="3"/>
        <v>-308.7</v>
      </c>
      <c r="H19" s="9">
        <f t="shared" si="2"/>
        <v>-14660.163</v>
      </c>
    </row>
    <row r="20">
      <c r="A20" s="7">
        <v>45936.0</v>
      </c>
      <c r="B20" s="9">
        <v>216.1</v>
      </c>
      <c r="C20" s="9">
        <v>45.3</v>
      </c>
      <c r="D20" s="9">
        <v>0.0</v>
      </c>
      <c r="E20" s="9">
        <v>4.4</v>
      </c>
      <c r="F20" s="9">
        <v>48.33</v>
      </c>
      <c r="G20" s="9">
        <f t="shared" si="3"/>
        <v>265.8</v>
      </c>
      <c r="H20" s="49">
        <f t="shared" si="2"/>
        <v>12846.114</v>
      </c>
      <c r="O20" s="166"/>
    </row>
    <row r="21">
      <c r="A21" s="7">
        <v>45937.0</v>
      </c>
      <c r="B21" s="9">
        <v>132.2</v>
      </c>
      <c r="C21" s="9">
        <v>0.0</v>
      </c>
      <c r="D21" s="9">
        <v>0.0</v>
      </c>
      <c r="E21" s="9">
        <v>0.0</v>
      </c>
      <c r="F21" s="9">
        <v>48.07</v>
      </c>
      <c r="G21" s="9">
        <f t="shared" si="3"/>
        <v>132.2</v>
      </c>
      <c r="H21" s="49">
        <f t="shared" si="2"/>
        <v>6354.854</v>
      </c>
    </row>
    <row r="22">
      <c r="A22" s="7">
        <v>45938.0</v>
      </c>
      <c r="B22" s="9">
        <v>30.8</v>
      </c>
      <c r="C22" s="9">
        <v>0.0</v>
      </c>
      <c r="D22" s="9">
        <v>0.0</v>
      </c>
      <c r="E22" s="9">
        <v>-14.8</v>
      </c>
      <c r="F22" s="9">
        <v>48.5</v>
      </c>
      <c r="G22" s="9">
        <f t="shared" si="3"/>
        <v>16</v>
      </c>
      <c r="H22" s="49">
        <f t="shared" si="2"/>
        <v>776</v>
      </c>
    </row>
    <row r="23">
      <c r="A23" s="7">
        <v>45939.0</v>
      </c>
      <c r="B23" s="9">
        <v>57.8</v>
      </c>
      <c r="C23" s="9">
        <v>0.0</v>
      </c>
      <c r="D23" s="144">
        <f>-33.3*2</f>
        <v>-66.6</v>
      </c>
      <c r="E23" s="9">
        <v>-5.6</v>
      </c>
      <c r="F23" s="9">
        <v>49.45</v>
      </c>
      <c r="G23" s="9">
        <f t="shared" si="3"/>
        <v>-14.4</v>
      </c>
      <c r="H23" s="49">
        <f t="shared" si="2"/>
        <v>-712.08</v>
      </c>
    </row>
    <row r="24">
      <c r="A24" s="7">
        <v>45940.0</v>
      </c>
      <c r="B24" s="9">
        <v>-13.5</v>
      </c>
      <c r="C24" s="9">
        <v>0.0</v>
      </c>
      <c r="D24" s="144">
        <f>23.2</f>
        <v>23.2</v>
      </c>
      <c r="E24" s="9">
        <v>-4.4</v>
      </c>
      <c r="F24" s="9">
        <v>49.94</v>
      </c>
      <c r="G24" s="9">
        <f t="shared" si="3"/>
        <v>5.3</v>
      </c>
      <c r="H24" s="49">
        <f t="shared" si="2"/>
        <v>264.682</v>
      </c>
    </row>
    <row r="25">
      <c r="A25" s="7">
        <v>45943.0</v>
      </c>
      <c r="B25" s="9">
        <v>506.8</v>
      </c>
      <c r="C25" s="9">
        <v>0.0</v>
      </c>
      <c r="D25" s="9">
        <v>-61.8</v>
      </c>
      <c r="E25" s="9">
        <v>-11.8</v>
      </c>
      <c r="F25" s="43">
        <v>51.3</v>
      </c>
      <c r="G25" s="9">
        <f t="shared" si="3"/>
        <v>433.2</v>
      </c>
      <c r="H25" s="49">
        <f t="shared" si="2"/>
        <v>22223.16</v>
      </c>
      <c r="J25" s="132"/>
      <c r="K25" s="78"/>
      <c r="L25" s="78"/>
      <c r="N25" s="132"/>
      <c r="O25" s="78"/>
      <c r="P25" s="78"/>
    </row>
    <row r="26">
      <c r="A26" s="7">
        <v>45944.0</v>
      </c>
      <c r="B26" s="9">
        <v>-34.9</v>
      </c>
      <c r="C26" s="9">
        <v>58.6</v>
      </c>
      <c r="D26" s="9">
        <v>0.0</v>
      </c>
      <c r="E26" s="9">
        <v>-7.8</v>
      </c>
      <c r="F26" s="9">
        <v>51.85</v>
      </c>
      <c r="G26" s="9">
        <f t="shared" si="3"/>
        <v>15.9</v>
      </c>
      <c r="H26" s="49">
        <f t="shared" si="2"/>
        <v>824.415</v>
      </c>
      <c r="J26" s="133"/>
      <c r="K26" s="45"/>
      <c r="L26" s="45"/>
      <c r="N26" s="78"/>
      <c r="O26" s="115"/>
      <c r="P26" s="83"/>
    </row>
    <row r="27">
      <c r="A27" s="7">
        <v>45945.0</v>
      </c>
      <c r="B27" s="9">
        <v>-514.3</v>
      </c>
      <c r="C27" s="9">
        <v>0.0</v>
      </c>
      <c r="D27" s="9">
        <v>0.0</v>
      </c>
      <c r="E27" s="9">
        <v>-2.6</v>
      </c>
      <c r="F27" s="9">
        <v>52.57</v>
      </c>
      <c r="G27" s="9">
        <f t="shared" si="3"/>
        <v>-516.9</v>
      </c>
      <c r="H27" s="49">
        <f t="shared" si="2"/>
        <v>-27173.433</v>
      </c>
      <c r="J27" s="134"/>
      <c r="K27" s="18"/>
      <c r="L27" s="18"/>
      <c r="N27" s="145"/>
      <c r="O27" s="81"/>
      <c r="P27" s="81"/>
    </row>
    <row r="28">
      <c r="A28" s="7">
        <v>45946.0</v>
      </c>
      <c r="B28" s="9">
        <v>0.0</v>
      </c>
      <c r="C28" s="9">
        <v>47.6</v>
      </c>
      <c r="D28" s="9">
        <v>-9.2</v>
      </c>
      <c r="E28" s="9">
        <v>-8.6</v>
      </c>
      <c r="F28" s="9">
        <v>53.65</v>
      </c>
      <c r="G28" s="9">
        <f t="shared" si="3"/>
        <v>29.8</v>
      </c>
      <c r="H28" s="49">
        <f t="shared" si="2"/>
        <v>1598.77</v>
      </c>
      <c r="J28" s="133"/>
      <c r="K28" s="45"/>
      <c r="L28" s="86"/>
      <c r="N28" s="78"/>
      <c r="O28" s="115"/>
      <c r="P28" s="83"/>
    </row>
    <row r="29">
      <c r="A29" s="7">
        <v>45947.0</v>
      </c>
      <c r="B29" s="9">
        <v>127.5</v>
      </c>
      <c r="C29" s="9">
        <v>0.0</v>
      </c>
      <c r="D29" s="9">
        <v>0.0</v>
      </c>
      <c r="E29" s="9">
        <v>0.0</v>
      </c>
      <c r="F29" s="9">
        <v>52.34</v>
      </c>
      <c r="G29" s="9">
        <f t="shared" si="3"/>
        <v>127.5</v>
      </c>
      <c r="H29" s="49">
        <f t="shared" si="2"/>
        <v>6673.35</v>
      </c>
      <c r="J29" s="134"/>
      <c r="K29" s="18"/>
      <c r="L29" s="86"/>
      <c r="N29" s="145"/>
      <c r="O29" s="81"/>
      <c r="P29" s="81"/>
    </row>
    <row r="30">
      <c r="A30" s="7">
        <v>45950.0</v>
      </c>
      <c r="B30" s="9">
        <v>473.7</v>
      </c>
      <c r="C30" s="9">
        <v>0.0</v>
      </c>
      <c r="D30" s="9">
        <v>-69.0</v>
      </c>
      <c r="E30" s="9">
        <v>0.0</v>
      </c>
      <c r="F30" s="9">
        <v>52.14</v>
      </c>
      <c r="G30" s="9">
        <f t="shared" si="3"/>
        <v>404.7</v>
      </c>
      <c r="H30" s="49">
        <f t="shared" si="2"/>
        <v>21101.058</v>
      </c>
      <c r="J30" s="133"/>
      <c r="K30" s="45"/>
      <c r="L30" s="86"/>
      <c r="N30" s="78"/>
      <c r="O30" s="115"/>
      <c r="P30" s="83"/>
    </row>
    <row r="31">
      <c r="A31" s="7">
        <v>45951.0</v>
      </c>
      <c r="B31" s="9">
        <v>-155.1</v>
      </c>
      <c r="C31" s="9">
        <v>-9.9</v>
      </c>
      <c r="D31" s="9">
        <v>0.0</v>
      </c>
      <c r="E31" s="9">
        <v>-4.8</v>
      </c>
      <c r="F31" s="9">
        <v>49.72</v>
      </c>
      <c r="G31" s="9">
        <f t="shared" si="3"/>
        <v>-169.8</v>
      </c>
      <c r="H31" s="49">
        <f t="shared" si="2"/>
        <v>-8442.456</v>
      </c>
      <c r="J31" s="134"/>
      <c r="K31" s="18"/>
      <c r="L31" s="86"/>
    </row>
    <row r="32">
      <c r="A32" s="7">
        <v>45952.0</v>
      </c>
      <c r="B32" s="9">
        <v>-126.9</v>
      </c>
      <c r="C32" s="9">
        <v>0.0</v>
      </c>
      <c r="D32" s="9">
        <v>7.8</v>
      </c>
      <c r="E32" s="9">
        <v>2.8</v>
      </c>
      <c r="F32" s="9">
        <v>48.45</v>
      </c>
      <c r="G32" s="9">
        <f t="shared" si="3"/>
        <v>-116.3</v>
      </c>
      <c r="H32" s="49">
        <f t="shared" si="2"/>
        <v>-5634.735</v>
      </c>
      <c r="J32" s="134"/>
      <c r="K32" s="18"/>
      <c r="L32" s="86"/>
    </row>
    <row r="33">
      <c r="A33" s="7">
        <v>45953.0</v>
      </c>
      <c r="B33" s="9">
        <v>-197.2</v>
      </c>
      <c r="C33" s="9">
        <v>0.0</v>
      </c>
      <c r="D33" s="9">
        <v>-23.2</v>
      </c>
      <c r="E33" s="9">
        <v>16.8</v>
      </c>
      <c r="F33" s="9">
        <v>48.76</v>
      </c>
      <c r="G33" s="9">
        <f t="shared" si="3"/>
        <v>-203.6</v>
      </c>
      <c r="H33" s="49">
        <f t="shared" si="2"/>
        <v>-9927.536</v>
      </c>
      <c r="J33" s="134"/>
      <c r="K33" s="18"/>
      <c r="L33" s="86"/>
    </row>
    <row r="34">
      <c r="A34" s="7">
        <v>45954.0</v>
      </c>
      <c r="B34" s="9">
        <v>-78.0</v>
      </c>
      <c r="C34" s="9">
        <v>0.0</v>
      </c>
      <c r="D34" s="9">
        <v>32.4</v>
      </c>
      <c r="E34" s="9">
        <v>0.0</v>
      </c>
      <c r="F34" s="9">
        <v>48.51</v>
      </c>
      <c r="G34" s="9">
        <f t="shared" si="3"/>
        <v>-45.6</v>
      </c>
      <c r="H34" s="49">
        <f t="shared" si="2"/>
        <v>-2212.056</v>
      </c>
      <c r="J34" s="134"/>
      <c r="K34" s="18"/>
      <c r="L34" s="86"/>
    </row>
    <row r="35">
      <c r="A35" s="7">
        <v>45957.0</v>
      </c>
      <c r="B35" s="9">
        <v>-122.0</v>
      </c>
      <c r="C35" s="9">
        <v>0.0</v>
      </c>
      <c r="D35" s="9">
        <v>0.0</v>
      </c>
      <c r="E35" s="9">
        <v>0.0</v>
      </c>
      <c r="F35" s="9">
        <v>47.109</v>
      </c>
      <c r="G35" s="9">
        <f t="shared" si="3"/>
        <v>-122</v>
      </c>
      <c r="H35" s="49">
        <f t="shared" si="2"/>
        <v>-5747.298</v>
      </c>
      <c r="J35" s="134"/>
      <c r="K35" s="18"/>
      <c r="L35" s="86"/>
    </row>
    <row r="36">
      <c r="A36" s="7">
        <v>45958.0</v>
      </c>
      <c r="B36" s="9">
        <v>-199.8</v>
      </c>
      <c r="C36" s="9">
        <v>0.0</v>
      </c>
      <c r="D36" s="9">
        <v>0.0</v>
      </c>
      <c r="E36" s="9">
        <v>5.4</v>
      </c>
      <c r="F36" s="9">
        <v>46.63</v>
      </c>
      <c r="G36" s="9">
        <f t="shared" si="3"/>
        <v>-194.4</v>
      </c>
      <c r="H36" s="49">
        <f t="shared" si="2"/>
        <v>-9064.872</v>
      </c>
      <c r="J36" s="134"/>
      <c r="K36" s="18"/>
      <c r="L36" s="86"/>
    </row>
    <row r="37">
      <c r="A37" s="7">
        <v>45959.0</v>
      </c>
      <c r="B37" s="9">
        <v>0.0</v>
      </c>
      <c r="C37" s="9">
        <v>35.4</v>
      </c>
      <c r="D37" s="9">
        <v>0.0</v>
      </c>
      <c r="E37" s="9">
        <v>4.2</v>
      </c>
      <c r="F37" s="9">
        <v>47.6</v>
      </c>
      <c r="G37" s="9">
        <f t="shared" si="3"/>
        <v>39.6</v>
      </c>
      <c r="H37" s="49">
        <f t="shared" si="2"/>
        <v>1884.96</v>
      </c>
      <c r="J37" s="134"/>
      <c r="K37" s="18"/>
      <c r="L37" s="86"/>
    </row>
    <row r="38">
      <c r="A38" s="7">
        <v>45960.0</v>
      </c>
      <c r="B38" s="9">
        <v>-30.6</v>
      </c>
      <c r="C38" s="9">
        <v>0.0</v>
      </c>
      <c r="D38" s="9">
        <v>15.6</v>
      </c>
      <c r="E38" s="9">
        <v>-1.4</v>
      </c>
      <c r="F38" s="9">
        <v>48.39</v>
      </c>
      <c r="G38" s="9">
        <f t="shared" si="3"/>
        <v>-16.4</v>
      </c>
      <c r="H38" s="49">
        <f t="shared" si="2"/>
        <v>-793.596</v>
      </c>
      <c r="J38" s="134"/>
      <c r="K38" s="18"/>
      <c r="L38" s="86"/>
    </row>
    <row r="39">
      <c r="A39" s="7">
        <v>45961.0</v>
      </c>
      <c r="B39" s="9">
        <v>0.0</v>
      </c>
      <c r="C39" s="9">
        <v>0.0</v>
      </c>
      <c r="D39" s="9">
        <v>32.2</v>
      </c>
      <c r="E39" s="9">
        <v>-9.4</v>
      </c>
      <c r="F39" s="9">
        <v>48.82</v>
      </c>
      <c r="G39" s="9">
        <f t="shared" si="3"/>
        <v>22.8</v>
      </c>
      <c r="H39" s="49">
        <f t="shared" si="2"/>
        <v>1113.096</v>
      </c>
      <c r="J39" s="136"/>
      <c r="K39" s="91"/>
      <c r="L39" s="90"/>
    </row>
    <row r="40">
      <c r="A40" s="7">
        <v>45964.0</v>
      </c>
      <c r="B40" s="9">
        <v>0.0</v>
      </c>
      <c r="C40" s="9">
        <v>32.6</v>
      </c>
      <c r="D40" s="9">
        <v>-15.8</v>
      </c>
      <c r="E40" s="9">
        <v>0.0</v>
      </c>
      <c r="F40" s="9">
        <v>48.4</v>
      </c>
      <c r="G40" s="9">
        <f t="shared" si="3"/>
        <v>16.8</v>
      </c>
      <c r="H40" s="49">
        <f t="shared" si="2"/>
        <v>813.12</v>
      </c>
      <c r="J40" s="91"/>
      <c r="K40" s="121"/>
      <c r="L40" s="93"/>
    </row>
    <row r="41">
      <c r="A41" s="7">
        <v>45965.0</v>
      </c>
      <c r="B41" s="9">
        <v>-24.3</v>
      </c>
      <c r="C41" s="9">
        <v>23.2</v>
      </c>
      <c r="D41" s="9">
        <v>0.0</v>
      </c>
      <c r="E41" s="9">
        <v>-1.4</v>
      </c>
      <c r="F41" s="9">
        <v>47.42</v>
      </c>
      <c r="G41" s="9">
        <f t="shared" si="3"/>
        <v>-2.5</v>
      </c>
      <c r="H41" s="49">
        <f t="shared" si="2"/>
        <v>-118.55</v>
      </c>
      <c r="J41" s="94"/>
      <c r="K41" s="94"/>
      <c r="L41" s="96"/>
    </row>
    <row r="42">
      <c r="A42" s="7">
        <v>45966.0</v>
      </c>
      <c r="B42" s="9">
        <v>-26.0</v>
      </c>
      <c r="C42" s="9">
        <v>0.0</v>
      </c>
      <c r="D42" s="9">
        <v>0.0</v>
      </c>
      <c r="E42" s="9">
        <v>0.0</v>
      </c>
      <c r="F42" s="9">
        <v>47.73</v>
      </c>
      <c r="G42" s="9">
        <f t="shared" si="3"/>
        <v>-26</v>
      </c>
      <c r="H42" s="49">
        <f t="shared" si="2"/>
        <v>-1240.98</v>
      </c>
      <c r="J42" s="91"/>
      <c r="K42" s="121"/>
      <c r="L42" s="93"/>
    </row>
    <row r="43">
      <c r="A43" s="7">
        <v>45967.0</v>
      </c>
      <c r="B43" s="9">
        <v>-56.2</v>
      </c>
      <c r="C43" s="9">
        <v>0.0</v>
      </c>
      <c r="D43" s="14">
        <f>-19.6*2</f>
        <v>-39.2</v>
      </c>
      <c r="E43" s="9">
        <v>0.0</v>
      </c>
      <c r="F43" s="9">
        <v>48.16</v>
      </c>
      <c r="G43" s="9">
        <f t="shared" si="3"/>
        <v>-95.4</v>
      </c>
      <c r="H43" s="49">
        <f t="shared" si="2"/>
        <v>-4594.464</v>
      </c>
      <c r="J43" s="94"/>
      <c r="K43" s="94"/>
      <c r="L43" s="96"/>
    </row>
    <row r="44">
      <c r="A44" s="7">
        <v>45968.0</v>
      </c>
      <c r="B44" s="9">
        <v>-39.8</v>
      </c>
      <c r="C44" s="9">
        <v>0.0</v>
      </c>
      <c r="D44" s="9">
        <v>0.0</v>
      </c>
      <c r="E44" s="9">
        <v>0.0</v>
      </c>
      <c r="F44" s="9">
        <v>48.39</v>
      </c>
      <c r="G44" s="9">
        <f t="shared" si="3"/>
        <v>-39.8</v>
      </c>
      <c r="H44" s="49">
        <f t="shared" si="2"/>
        <v>-1925.922</v>
      </c>
      <c r="J44" s="136"/>
      <c r="K44" s="91"/>
      <c r="L44" s="90"/>
      <c r="N44" s="137" t="s">
        <v>225</v>
      </c>
      <c r="O44" s="33" t="s">
        <v>65</v>
      </c>
      <c r="P44" s="33" t="s">
        <v>66</v>
      </c>
    </row>
    <row r="45">
      <c r="A45" s="7">
        <v>45971.0</v>
      </c>
      <c r="B45" s="9">
        <v>0.0</v>
      </c>
      <c r="C45" s="9">
        <v>0.0</v>
      </c>
      <c r="D45" s="9">
        <v>23.6</v>
      </c>
      <c r="E45" s="9">
        <v>0.0</v>
      </c>
      <c r="F45" s="9">
        <v>49.83</v>
      </c>
      <c r="G45" s="9">
        <f t="shared" si="3"/>
        <v>23.6</v>
      </c>
      <c r="H45" s="49">
        <f t="shared" si="2"/>
        <v>1175.988</v>
      </c>
      <c r="J45" s="137" t="s">
        <v>225</v>
      </c>
      <c r="K45" s="33" t="s">
        <v>65</v>
      </c>
      <c r="L45" s="98" t="s">
        <v>66</v>
      </c>
      <c r="N45" s="33" t="s">
        <v>145</v>
      </c>
      <c r="O45" s="131">
        <v>54.24</v>
      </c>
      <c r="P45" s="103">
        <v>50.37</v>
      </c>
    </row>
    <row r="46">
      <c r="A46" s="7">
        <v>45972.0</v>
      </c>
      <c r="B46" s="9">
        <v>0.0</v>
      </c>
      <c r="C46" s="9">
        <v>50.0</v>
      </c>
      <c r="D46" s="9">
        <v>-17.2</v>
      </c>
      <c r="E46" s="9">
        <v>-5.0</v>
      </c>
      <c r="F46" s="9">
        <v>50.92</v>
      </c>
      <c r="G46" s="9">
        <f t="shared" si="3"/>
        <v>27.8</v>
      </c>
      <c r="H46" s="49">
        <f t="shared" si="2"/>
        <v>1415.576</v>
      </c>
      <c r="J46" s="33" t="s">
        <v>145</v>
      </c>
      <c r="K46" s="128">
        <f>G50</f>
        <v>54.24</v>
      </c>
      <c r="L46" s="100">
        <f>F50</f>
        <v>50.37</v>
      </c>
      <c r="N46" s="36"/>
      <c r="O46" s="36"/>
      <c r="P46" s="36"/>
    </row>
    <row r="47">
      <c r="A47" s="7">
        <v>45973.0</v>
      </c>
      <c r="B47" s="9">
        <v>0.0</v>
      </c>
      <c r="C47" s="9">
        <v>0.0</v>
      </c>
      <c r="D47" s="9">
        <v>0.0</v>
      </c>
      <c r="E47" s="9">
        <v>-15.8</v>
      </c>
      <c r="F47" s="9">
        <v>52.6</v>
      </c>
      <c r="G47" s="9">
        <f t="shared" si="3"/>
        <v>-15.8</v>
      </c>
      <c r="H47" s="49">
        <f t="shared" si="2"/>
        <v>-831.08</v>
      </c>
      <c r="J47" s="36"/>
      <c r="K47" s="36"/>
      <c r="L47" s="54"/>
      <c r="N47" s="33" t="s">
        <v>68</v>
      </c>
      <c r="O47" s="131">
        <v>335.74</v>
      </c>
      <c r="P47" s="103">
        <v>52.0</v>
      </c>
    </row>
    <row r="48">
      <c r="A48" s="7">
        <v>45974.0</v>
      </c>
      <c r="B48" s="9">
        <v>140.3</v>
      </c>
      <c r="C48" s="9">
        <v>56.4</v>
      </c>
      <c r="D48" s="9">
        <v>0.0</v>
      </c>
      <c r="E48" s="9">
        <v>-5.4</v>
      </c>
      <c r="F48" s="9">
        <v>52.91</v>
      </c>
      <c r="G48" s="9">
        <f t="shared" si="3"/>
        <v>191.3</v>
      </c>
      <c r="H48" s="49">
        <f t="shared" si="2"/>
        <v>10121.683</v>
      </c>
      <c r="J48" s="33" t="s">
        <v>68</v>
      </c>
      <c r="K48" s="128">
        <f>sum(G46:G50)</f>
        <v>335.74</v>
      </c>
      <c r="L48" s="100">
        <f>sum(H46:H50)/K48</f>
        <v>51.99775958</v>
      </c>
      <c r="N48" s="36"/>
      <c r="O48" s="36"/>
      <c r="P48" s="36"/>
    </row>
    <row r="49">
      <c r="A49" s="7">
        <v>45975.0</v>
      </c>
      <c r="B49" s="9">
        <v>78.2</v>
      </c>
      <c r="C49" s="9">
        <v>0.0</v>
      </c>
      <c r="D49" s="9">
        <v>0.0</v>
      </c>
      <c r="E49" s="9">
        <v>0.0</v>
      </c>
      <c r="F49" s="9">
        <v>51.4</v>
      </c>
      <c r="G49" s="9">
        <f t="shared" si="3"/>
        <v>78.2</v>
      </c>
      <c r="H49" s="49">
        <f t="shared" si="2"/>
        <v>4019.48</v>
      </c>
      <c r="J49" s="36"/>
      <c r="K49" s="36"/>
      <c r="L49" s="54"/>
      <c r="N49" s="33" t="s">
        <v>69</v>
      </c>
      <c r="O49" s="126">
        <v>-593.26</v>
      </c>
      <c r="P49" s="103">
        <v>45.95</v>
      </c>
    </row>
    <row r="50">
      <c r="A50" s="7">
        <v>45978.0</v>
      </c>
      <c r="B50" s="9">
        <v>0.0</v>
      </c>
      <c r="C50" s="9">
        <v>0.0</v>
      </c>
      <c r="D50" s="9">
        <v>69.57</v>
      </c>
      <c r="E50" s="9">
        <v>-15.33</v>
      </c>
      <c r="F50" s="9">
        <v>50.37</v>
      </c>
      <c r="G50" s="9">
        <f t="shared" si="3"/>
        <v>54.24</v>
      </c>
      <c r="H50" s="49">
        <f t="shared" si="2"/>
        <v>2732.0688</v>
      </c>
      <c r="J50" s="33" t="s">
        <v>69</v>
      </c>
      <c r="K50" s="128">
        <f>SUM(G31:G50)</f>
        <v>-593.26</v>
      </c>
      <c r="L50" s="100">
        <f>SUM(H31:H50)/K50</f>
        <v>45.94540876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9" t="s">
        <v>0</v>
      </c>
      <c r="B1" s="110" t="s">
        <v>226</v>
      </c>
      <c r="C1" s="110" t="s">
        <v>227</v>
      </c>
      <c r="D1" s="110" t="s">
        <v>228</v>
      </c>
      <c r="E1" s="110" t="s">
        <v>229</v>
      </c>
      <c r="F1" s="110" t="s">
        <v>230</v>
      </c>
      <c r="G1" s="110" t="s">
        <v>231</v>
      </c>
      <c r="H1" s="110" t="s">
        <v>151</v>
      </c>
      <c r="I1" s="110" t="s">
        <v>3</v>
      </c>
    </row>
    <row r="2">
      <c r="A2" s="7">
        <v>45910.0</v>
      </c>
      <c r="B2" s="9">
        <v>-1.5</v>
      </c>
      <c r="C2" s="9">
        <v>3.3</v>
      </c>
      <c r="D2" s="9">
        <v>7.3</v>
      </c>
      <c r="E2" s="9">
        <v>-22.8</v>
      </c>
      <c r="F2" s="9">
        <v>-15.6</v>
      </c>
      <c r="G2" s="9">
        <v>0.0</v>
      </c>
      <c r="H2" s="9">
        <f t="shared" ref="H2:H4" si="1">SUM(B2)</f>
        <v>-1.5</v>
      </c>
      <c r="I2" s="9">
        <f t="shared" ref="I2:I50" si="2">H2*G2</f>
        <v>0</v>
      </c>
    </row>
    <row r="3">
      <c r="A3" s="7">
        <v>45911.0</v>
      </c>
      <c r="B3" s="9">
        <v>0.0</v>
      </c>
      <c r="C3" s="9">
        <v>0.0</v>
      </c>
      <c r="D3" s="9">
        <v>0.0</v>
      </c>
      <c r="E3" s="9">
        <v>0.0</v>
      </c>
      <c r="F3" s="9">
        <v>0.0</v>
      </c>
      <c r="G3" s="9">
        <v>0.0</v>
      </c>
      <c r="H3" s="9">
        <f t="shared" si="1"/>
        <v>0</v>
      </c>
      <c r="I3" s="9">
        <f t="shared" si="2"/>
        <v>0</v>
      </c>
    </row>
    <row r="4">
      <c r="A4" s="7">
        <v>45912.0</v>
      </c>
      <c r="B4" s="9">
        <v>-1.5</v>
      </c>
      <c r="C4" s="9">
        <v>0.0</v>
      </c>
      <c r="D4" s="9">
        <v>-51.2</v>
      </c>
      <c r="E4" s="9">
        <v>9.0</v>
      </c>
      <c r="F4" s="9">
        <v>0.0</v>
      </c>
      <c r="G4" s="9">
        <v>0.0</v>
      </c>
      <c r="H4" s="9">
        <f t="shared" si="1"/>
        <v>-1.5</v>
      </c>
      <c r="I4" s="9">
        <f t="shared" si="2"/>
        <v>0</v>
      </c>
    </row>
    <row r="5">
      <c r="A5" s="7">
        <v>45915.0</v>
      </c>
      <c r="B5" s="9">
        <v>0.0</v>
      </c>
      <c r="C5" s="9">
        <v>0.0</v>
      </c>
      <c r="D5" s="9">
        <v>73.5</v>
      </c>
      <c r="E5" s="9">
        <v>-4.6</v>
      </c>
      <c r="F5" s="9">
        <v>0.0</v>
      </c>
      <c r="G5" s="9">
        <v>66.96</v>
      </c>
      <c r="H5" s="9">
        <f t="shared" ref="H5:H50" si="3">SUM(B5:F5)</f>
        <v>68.9</v>
      </c>
      <c r="I5" s="9">
        <f t="shared" si="2"/>
        <v>4613.544</v>
      </c>
    </row>
    <row r="6">
      <c r="A6" s="7">
        <v>45916.0</v>
      </c>
      <c r="B6" s="9">
        <v>0.0</v>
      </c>
      <c r="C6" s="9">
        <v>1.4</v>
      </c>
      <c r="D6" s="9">
        <v>-66.8</v>
      </c>
      <c r="E6" s="9">
        <v>0.0</v>
      </c>
      <c r="F6" s="9">
        <v>-3.4</v>
      </c>
      <c r="G6" s="9">
        <v>67.58</v>
      </c>
      <c r="H6" s="9">
        <f t="shared" si="3"/>
        <v>-68.8</v>
      </c>
      <c r="I6" s="9">
        <f t="shared" si="2"/>
        <v>-4649.504</v>
      </c>
    </row>
    <row r="7">
      <c r="A7" s="7">
        <v>45917.0</v>
      </c>
      <c r="B7" s="9">
        <v>0.0</v>
      </c>
      <c r="C7" s="9">
        <v>0.0</v>
      </c>
      <c r="D7" s="9">
        <v>0.0</v>
      </c>
      <c r="E7" s="9">
        <v>-4.8</v>
      </c>
      <c r="F7" s="9">
        <v>-6.6</v>
      </c>
      <c r="G7" s="9">
        <v>67.78</v>
      </c>
      <c r="H7" s="9">
        <f t="shared" si="3"/>
        <v>-11.4</v>
      </c>
      <c r="I7" s="9">
        <f t="shared" si="2"/>
        <v>-772.692</v>
      </c>
    </row>
    <row r="8">
      <c r="A8" s="7">
        <v>45918.0</v>
      </c>
      <c r="B8" s="9">
        <v>0.0</v>
      </c>
      <c r="C8" s="9">
        <v>0.0</v>
      </c>
      <c r="D8" s="9">
        <v>0.0</v>
      </c>
      <c r="E8" s="9">
        <v>20.8</v>
      </c>
      <c r="F8" s="9">
        <v>6.8</v>
      </c>
      <c r="G8" s="9">
        <v>67.33</v>
      </c>
      <c r="H8" s="9">
        <f t="shared" si="3"/>
        <v>27.6</v>
      </c>
      <c r="I8" s="9">
        <f t="shared" si="2"/>
        <v>1858.308</v>
      </c>
    </row>
    <row r="9">
      <c r="A9" s="7">
        <v>45919.0</v>
      </c>
      <c r="B9" s="9">
        <v>0.0</v>
      </c>
      <c r="C9" s="9">
        <v>0.0</v>
      </c>
      <c r="D9" s="9">
        <v>-7.5</v>
      </c>
      <c r="E9" s="9">
        <v>0.0</v>
      </c>
      <c r="F9" s="9">
        <v>0.0</v>
      </c>
      <c r="G9" s="9">
        <v>66.52</v>
      </c>
      <c r="H9" s="9">
        <f t="shared" si="3"/>
        <v>-7.5</v>
      </c>
      <c r="I9" s="9">
        <f t="shared" si="2"/>
        <v>-498.9</v>
      </c>
    </row>
    <row r="10">
      <c r="A10" s="7">
        <v>45922.0</v>
      </c>
      <c r="B10" s="9">
        <v>0.0</v>
      </c>
      <c r="C10" s="9">
        <v>0.0</v>
      </c>
      <c r="D10" s="9">
        <v>14.7</v>
      </c>
      <c r="E10" s="9">
        <v>6.8</v>
      </c>
      <c r="F10" s="9">
        <v>8.8</v>
      </c>
      <c r="G10" s="9">
        <v>66.1</v>
      </c>
      <c r="H10" s="9">
        <f t="shared" si="3"/>
        <v>30.3</v>
      </c>
      <c r="I10" s="9">
        <f t="shared" si="2"/>
        <v>2002.83</v>
      </c>
    </row>
    <row r="11">
      <c r="A11" s="7">
        <v>45923.0</v>
      </c>
      <c r="B11" s="9">
        <v>-4.5</v>
      </c>
      <c r="C11" s="9">
        <v>0.0</v>
      </c>
      <c r="D11" s="9">
        <v>-36.7</v>
      </c>
      <c r="E11" s="9">
        <v>-4.6</v>
      </c>
      <c r="F11" s="9">
        <v>0.0</v>
      </c>
      <c r="G11" s="9">
        <v>66.55</v>
      </c>
      <c r="H11" s="9">
        <f t="shared" si="3"/>
        <v>-45.8</v>
      </c>
      <c r="I11" s="9">
        <f t="shared" si="2"/>
        <v>-3047.99</v>
      </c>
    </row>
    <row r="12">
      <c r="A12" s="7">
        <v>45924.0</v>
      </c>
      <c r="B12" s="9">
        <v>0.0</v>
      </c>
      <c r="C12" s="9">
        <v>0.0</v>
      </c>
      <c r="D12" s="9">
        <v>0.0</v>
      </c>
      <c r="E12" s="9">
        <v>0.0</v>
      </c>
      <c r="F12" s="9">
        <v>0.0</v>
      </c>
      <c r="G12" s="9">
        <v>67.7</v>
      </c>
      <c r="H12" s="9">
        <f t="shared" si="3"/>
        <v>0</v>
      </c>
      <c r="I12" s="9">
        <f t="shared" si="2"/>
        <v>0</v>
      </c>
    </row>
    <row r="13">
      <c r="A13" s="7">
        <v>45925.0</v>
      </c>
      <c r="B13" s="9">
        <v>0.0</v>
      </c>
      <c r="C13" s="9">
        <v>-2.8</v>
      </c>
      <c r="D13" s="9">
        <v>0.0</v>
      </c>
      <c r="E13" s="9">
        <v>-7.2</v>
      </c>
      <c r="F13" s="9">
        <v>-5.0</v>
      </c>
      <c r="G13" s="9">
        <v>68.34</v>
      </c>
      <c r="H13" s="9">
        <f t="shared" si="3"/>
        <v>-15</v>
      </c>
      <c r="I13" s="9">
        <f t="shared" si="2"/>
        <v>-1025.1</v>
      </c>
    </row>
    <row r="14">
      <c r="A14" s="7">
        <v>45926.0</v>
      </c>
      <c r="B14" s="9">
        <v>0.0</v>
      </c>
      <c r="C14" s="9">
        <v>1.4</v>
      </c>
      <c r="D14" s="9">
        <v>7.7</v>
      </c>
      <c r="E14" s="9">
        <v>0.0</v>
      </c>
      <c r="F14" s="9">
        <v>-5.0</v>
      </c>
      <c r="G14" s="9">
        <v>68.81</v>
      </c>
      <c r="H14" s="9">
        <f t="shared" si="3"/>
        <v>4.1</v>
      </c>
      <c r="I14" s="9">
        <f t="shared" si="2"/>
        <v>282.121</v>
      </c>
    </row>
    <row r="15">
      <c r="A15" s="7">
        <v>45929.0</v>
      </c>
      <c r="B15" s="9">
        <v>3.1</v>
      </c>
      <c r="C15" s="9">
        <v>0.0</v>
      </c>
      <c r="D15" s="9">
        <v>0.0</v>
      </c>
      <c r="E15" s="9">
        <v>-12.2</v>
      </c>
      <c r="F15" s="9">
        <v>4.8</v>
      </c>
      <c r="G15" s="9">
        <v>67.66</v>
      </c>
      <c r="H15" s="9">
        <f t="shared" si="3"/>
        <v>-4.3</v>
      </c>
      <c r="I15" s="9">
        <f t="shared" si="2"/>
        <v>-290.938</v>
      </c>
    </row>
    <row r="16">
      <c r="A16" s="7">
        <v>45930.0</v>
      </c>
      <c r="B16" s="9">
        <v>0.0</v>
      </c>
      <c r="C16" s="9">
        <v>-6.1</v>
      </c>
      <c r="D16" s="9">
        <v>0.0</v>
      </c>
      <c r="E16" s="9">
        <v>16.2</v>
      </c>
      <c r="F16" s="9">
        <v>12.0</v>
      </c>
      <c r="G16" s="9">
        <v>66.21</v>
      </c>
      <c r="H16" s="9">
        <f t="shared" si="3"/>
        <v>22.1</v>
      </c>
      <c r="I16" s="9">
        <f t="shared" si="2"/>
        <v>1463.241</v>
      </c>
    </row>
    <row r="17">
      <c r="A17" s="7">
        <v>45931.0</v>
      </c>
      <c r="B17" s="9">
        <v>0.0</v>
      </c>
      <c r="C17" s="9">
        <v>0.0</v>
      </c>
      <c r="D17" s="9">
        <v>-14.7</v>
      </c>
      <c r="E17" s="9">
        <v>15.6</v>
      </c>
      <c r="F17" s="9">
        <v>3.6</v>
      </c>
      <c r="G17" s="9">
        <v>65.68</v>
      </c>
      <c r="H17" s="9">
        <f t="shared" si="3"/>
        <v>4.5</v>
      </c>
      <c r="I17" s="9">
        <f t="shared" si="2"/>
        <v>295.56</v>
      </c>
      <c r="J17" s="9" t="s">
        <v>224</v>
      </c>
    </row>
    <row r="18">
      <c r="A18" s="7">
        <v>45932.0</v>
      </c>
      <c r="B18" s="9">
        <v>0.0</v>
      </c>
      <c r="C18" s="9">
        <v>-1.3</v>
      </c>
      <c r="D18" s="9">
        <v>43.7</v>
      </c>
      <c r="E18" s="9">
        <v>11.0</v>
      </c>
      <c r="F18" s="9">
        <v>17.8</v>
      </c>
      <c r="G18" s="9">
        <v>64.86</v>
      </c>
      <c r="H18" s="9">
        <f t="shared" si="3"/>
        <v>71.2</v>
      </c>
      <c r="I18" s="9">
        <f t="shared" si="2"/>
        <v>4618.032</v>
      </c>
    </row>
    <row r="19">
      <c r="A19" s="7">
        <v>45933.0</v>
      </c>
      <c r="B19" s="9">
        <v>-2.9</v>
      </c>
      <c r="C19" s="9">
        <v>5.2</v>
      </c>
      <c r="D19" s="9">
        <v>-21.4</v>
      </c>
      <c r="E19" s="9">
        <v>47.0</v>
      </c>
      <c r="F19" s="9">
        <v>0.0</v>
      </c>
      <c r="G19" s="9">
        <v>64.35</v>
      </c>
      <c r="H19" s="9">
        <f t="shared" si="3"/>
        <v>27.9</v>
      </c>
      <c r="I19" s="9">
        <f t="shared" si="2"/>
        <v>1795.365</v>
      </c>
    </row>
    <row r="20">
      <c r="A20" s="7">
        <v>45936.0</v>
      </c>
      <c r="B20" s="9">
        <v>-4.4</v>
      </c>
      <c r="C20" s="9">
        <v>-19.0</v>
      </c>
      <c r="D20" s="9">
        <v>57.5</v>
      </c>
      <c r="E20" s="9">
        <v>2.2</v>
      </c>
      <c r="F20" s="9">
        <v>7.2</v>
      </c>
      <c r="G20" s="9">
        <v>65.17</v>
      </c>
      <c r="H20" s="9">
        <f t="shared" si="3"/>
        <v>43.5</v>
      </c>
      <c r="I20" s="49">
        <f t="shared" si="2"/>
        <v>2834.895</v>
      </c>
    </row>
    <row r="21">
      <c r="A21" s="7">
        <v>45937.0</v>
      </c>
      <c r="B21" s="9">
        <v>0.0</v>
      </c>
      <c r="C21" s="9">
        <v>0.0</v>
      </c>
      <c r="D21" s="9">
        <v>0.0</v>
      </c>
      <c r="E21" s="9">
        <v>0.0</v>
      </c>
      <c r="F21" s="9">
        <v>10.6</v>
      </c>
      <c r="G21" s="9">
        <v>65.2</v>
      </c>
      <c r="H21" s="9">
        <f t="shared" si="3"/>
        <v>10.6</v>
      </c>
      <c r="I21" s="49">
        <f t="shared" si="2"/>
        <v>691.12</v>
      </c>
    </row>
    <row r="22">
      <c r="A22" s="7">
        <v>45938.0</v>
      </c>
      <c r="B22" s="9">
        <v>3.0</v>
      </c>
      <c r="C22" s="9">
        <v>1.3</v>
      </c>
      <c r="D22" s="9">
        <v>0.0</v>
      </c>
      <c r="E22" s="144">
        <v>-6.6</v>
      </c>
      <c r="F22" s="167">
        <v>0.0</v>
      </c>
      <c r="G22" s="9">
        <v>65.76</v>
      </c>
      <c r="H22" s="9">
        <f t="shared" si="3"/>
        <v>-2.3</v>
      </c>
      <c r="I22" s="49">
        <f t="shared" si="2"/>
        <v>-151.248</v>
      </c>
    </row>
    <row r="23">
      <c r="A23" s="7">
        <v>45939.0</v>
      </c>
      <c r="B23" s="9">
        <v>-4.5</v>
      </c>
      <c r="C23" s="9">
        <v>0.0</v>
      </c>
      <c r="D23" s="9">
        <v>-29.5</v>
      </c>
      <c r="E23" s="165">
        <v>-15.6</v>
      </c>
      <c r="F23" s="167">
        <v>3.6</v>
      </c>
      <c r="G23" s="9">
        <v>65.35</v>
      </c>
      <c r="H23" s="9">
        <f t="shared" si="3"/>
        <v>-46</v>
      </c>
      <c r="I23" s="49">
        <f t="shared" si="2"/>
        <v>-3006.1</v>
      </c>
    </row>
    <row r="24">
      <c r="A24" s="7">
        <v>45940.0</v>
      </c>
      <c r="B24" s="9">
        <v>0.0</v>
      </c>
      <c r="C24" s="9">
        <v>2.7</v>
      </c>
      <c r="D24" s="9">
        <v>7.3</v>
      </c>
      <c r="E24" s="9">
        <v>98.4</v>
      </c>
      <c r="F24" s="9">
        <v>-17.8</v>
      </c>
      <c r="G24" s="9">
        <v>63.45</v>
      </c>
      <c r="H24" s="9">
        <f t="shared" si="3"/>
        <v>90.6</v>
      </c>
      <c r="I24" s="49">
        <f t="shared" si="2"/>
        <v>5748.57</v>
      </c>
    </row>
    <row r="25">
      <c r="A25" s="7">
        <v>45943.0</v>
      </c>
      <c r="B25" s="9">
        <v>0.0</v>
      </c>
      <c r="C25" s="9">
        <v>1.3</v>
      </c>
      <c r="D25" s="9">
        <v>166.8</v>
      </c>
      <c r="E25" s="9">
        <v>12.2</v>
      </c>
      <c r="F25" s="9">
        <v>28.8</v>
      </c>
      <c r="G25" s="9">
        <v>63.18</v>
      </c>
      <c r="H25" s="49">
        <f t="shared" si="3"/>
        <v>209.1</v>
      </c>
      <c r="I25" s="49">
        <f t="shared" si="2"/>
        <v>13210.938</v>
      </c>
      <c r="K25" s="132"/>
      <c r="L25" s="78"/>
      <c r="M25" s="78"/>
      <c r="O25" s="132"/>
      <c r="P25" s="78"/>
      <c r="Q25" s="78"/>
    </row>
    <row r="26">
      <c r="A26" s="7">
        <v>45944.0</v>
      </c>
      <c r="B26" s="9">
        <v>0.0</v>
      </c>
      <c r="C26" s="9">
        <v>0.0</v>
      </c>
      <c r="D26" s="9">
        <v>-133.4</v>
      </c>
      <c r="E26" s="9">
        <v>6.2</v>
      </c>
      <c r="F26" s="9">
        <v>22.4</v>
      </c>
      <c r="G26" s="9">
        <v>62.21</v>
      </c>
      <c r="H26" s="49">
        <f t="shared" si="3"/>
        <v>-104.8</v>
      </c>
      <c r="I26" s="49">
        <f t="shared" si="2"/>
        <v>-6519.608</v>
      </c>
      <c r="K26" s="133"/>
      <c r="L26" s="45"/>
      <c r="M26" s="45"/>
      <c r="O26" s="78"/>
      <c r="P26" s="115"/>
      <c r="Q26" s="150"/>
    </row>
    <row r="27">
      <c r="A27" s="7">
        <v>45945.0</v>
      </c>
      <c r="B27" s="9">
        <v>0.0</v>
      </c>
      <c r="C27" s="9">
        <v>0.0</v>
      </c>
      <c r="D27" s="9">
        <v>-27.7</v>
      </c>
      <c r="E27" s="9">
        <v>4.0</v>
      </c>
      <c r="F27" s="9">
        <v>2.0</v>
      </c>
      <c r="G27" s="9">
        <v>62.16</v>
      </c>
      <c r="H27" s="49">
        <f t="shared" si="3"/>
        <v>-21.7</v>
      </c>
      <c r="I27" s="49">
        <f t="shared" si="2"/>
        <v>-1348.872</v>
      </c>
      <c r="K27" s="134"/>
      <c r="L27" s="18"/>
      <c r="M27" s="18"/>
      <c r="O27" s="145"/>
      <c r="P27" s="81"/>
      <c r="Q27" s="81"/>
    </row>
    <row r="28">
      <c r="A28" s="7">
        <v>45946.0</v>
      </c>
      <c r="B28" s="9">
        <v>0.0</v>
      </c>
      <c r="C28" s="9">
        <v>3.1</v>
      </c>
      <c r="D28" s="9">
        <v>0.0</v>
      </c>
      <c r="E28" s="9">
        <v>18.0</v>
      </c>
      <c r="F28" s="9">
        <v>7.8</v>
      </c>
      <c r="G28" s="9">
        <v>61.28</v>
      </c>
      <c r="H28" s="49">
        <f t="shared" si="3"/>
        <v>28.9</v>
      </c>
      <c r="I28" s="49">
        <f t="shared" si="2"/>
        <v>1770.992</v>
      </c>
      <c r="K28" s="133"/>
      <c r="L28" s="45"/>
      <c r="M28" s="86"/>
      <c r="O28" s="78"/>
      <c r="P28" s="115"/>
      <c r="Q28" s="83"/>
    </row>
    <row r="29">
      <c r="A29" s="7">
        <v>45947.0</v>
      </c>
      <c r="B29" s="9">
        <v>0.0</v>
      </c>
      <c r="C29" s="9">
        <v>4.3</v>
      </c>
      <c r="D29" s="9">
        <v>13.6</v>
      </c>
      <c r="E29" s="9">
        <v>52.8</v>
      </c>
      <c r="F29" s="9">
        <v>0.0</v>
      </c>
      <c r="G29" s="9">
        <v>60.8</v>
      </c>
      <c r="H29" s="49">
        <f t="shared" si="3"/>
        <v>70.7</v>
      </c>
      <c r="I29" s="49">
        <f t="shared" si="2"/>
        <v>4298.56</v>
      </c>
      <c r="K29" s="134"/>
      <c r="L29" s="18"/>
      <c r="M29" s="86"/>
      <c r="O29" s="145"/>
      <c r="P29" s="81"/>
      <c r="Q29" s="81"/>
    </row>
    <row r="30">
      <c r="A30" s="7">
        <v>45950.0</v>
      </c>
      <c r="B30" s="9">
        <v>0.0</v>
      </c>
      <c r="C30" s="9">
        <v>0.0</v>
      </c>
      <c r="D30" s="9">
        <v>13.6</v>
      </c>
      <c r="E30" s="9">
        <v>23.8</v>
      </c>
      <c r="F30" s="9">
        <v>13.8</v>
      </c>
      <c r="G30" s="9">
        <v>60.57</v>
      </c>
      <c r="H30" s="49">
        <f t="shared" si="3"/>
        <v>51.2</v>
      </c>
      <c r="I30" s="49">
        <f t="shared" si="2"/>
        <v>3101.184</v>
      </c>
      <c r="K30" s="133"/>
      <c r="L30" s="21"/>
      <c r="M30" s="86"/>
      <c r="O30" s="78"/>
      <c r="P30" s="168"/>
      <c r="Q30" s="83"/>
    </row>
    <row r="31">
      <c r="A31" s="7">
        <v>45951.0</v>
      </c>
      <c r="B31" s="9">
        <v>2.8</v>
      </c>
      <c r="C31" s="9">
        <v>3.1</v>
      </c>
      <c r="D31" s="9">
        <v>33.9</v>
      </c>
      <c r="E31" s="9">
        <v>4.0</v>
      </c>
      <c r="F31" s="9">
        <v>0.0</v>
      </c>
      <c r="G31" s="9">
        <v>61.1</v>
      </c>
      <c r="H31" s="49">
        <f t="shared" si="3"/>
        <v>43.8</v>
      </c>
      <c r="I31" s="49">
        <f t="shared" si="2"/>
        <v>2676.18</v>
      </c>
      <c r="K31" s="134"/>
      <c r="L31" s="21"/>
      <c r="M31" s="86"/>
    </row>
    <row r="32">
      <c r="A32" s="7">
        <v>45952.0</v>
      </c>
      <c r="B32" s="9">
        <v>1.4</v>
      </c>
      <c r="C32" s="9">
        <v>1.9</v>
      </c>
      <c r="D32" s="9">
        <v>-20.4</v>
      </c>
      <c r="E32" s="9">
        <v>0.0</v>
      </c>
      <c r="F32" s="9">
        <v>0.0</v>
      </c>
      <c r="G32" s="9">
        <v>62.53</v>
      </c>
      <c r="H32" s="49">
        <f t="shared" si="3"/>
        <v>-17.1</v>
      </c>
      <c r="I32" s="49">
        <f t="shared" si="2"/>
        <v>-1069.263</v>
      </c>
      <c r="K32" s="134"/>
      <c r="L32" s="21"/>
      <c r="M32" s="86"/>
    </row>
    <row r="33">
      <c r="A33" s="7">
        <v>45953.0</v>
      </c>
      <c r="B33" s="9">
        <v>0.0</v>
      </c>
      <c r="C33" s="9">
        <v>0.0</v>
      </c>
      <c r="D33" s="9">
        <v>-27.8</v>
      </c>
      <c r="E33" s="9">
        <v>-30.6</v>
      </c>
      <c r="F33" s="9">
        <v>-22.8</v>
      </c>
      <c r="G33" s="9">
        <v>64.76</v>
      </c>
      <c r="H33" s="49">
        <f t="shared" si="3"/>
        <v>-81.2</v>
      </c>
      <c r="I33" s="49">
        <f t="shared" si="2"/>
        <v>-5258.512</v>
      </c>
      <c r="K33" s="134"/>
      <c r="L33" s="21"/>
      <c r="M33" s="86"/>
    </row>
    <row r="34">
      <c r="A34" s="7">
        <v>45954.0</v>
      </c>
      <c r="B34" s="9">
        <v>0.0</v>
      </c>
      <c r="C34" s="9">
        <v>2.0</v>
      </c>
      <c r="D34" s="9">
        <v>-36.8</v>
      </c>
      <c r="E34" s="9">
        <v>-8.6</v>
      </c>
      <c r="F34" s="9">
        <v>-1.8</v>
      </c>
      <c r="G34" s="9">
        <v>65.26</v>
      </c>
      <c r="H34" s="49">
        <f t="shared" si="3"/>
        <v>-45.2</v>
      </c>
      <c r="I34" s="49">
        <f t="shared" si="2"/>
        <v>-2949.752</v>
      </c>
      <c r="K34" s="134"/>
      <c r="L34" s="21"/>
      <c r="M34" s="86"/>
    </row>
    <row r="35">
      <c r="A35" s="7">
        <v>45957.0</v>
      </c>
      <c r="B35" s="9">
        <v>0.0</v>
      </c>
      <c r="C35" s="9">
        <v>0.0</v>
      </c>
      <c r="D35" s="9">
        <v>0.0</v>
      </c>
      <c r="E35" s="9">
        <v>0.0</v>
      </c>
      <c r="F35" s="9">
        <v>0.0</v>
      </c>
      <c r="G35" s="9">
        <v>65.79</v>
      </c>
      <c r="H35" s="49">
        <f t="shared" si="3"/>
        <v>0</v>
      </c>
      <c r="I35" s="49">
        <f t="shared" si="2"/>
        <v>0</v>
      </c>
      <c r="K35" s="134"/>
      <c r="L35" s="21"/>
      <c r="M35" s="86"/>
    </row>
    <row r="36">
      <c r="A36" s="7">
        <v>45958.0</v>
      </c>
      <c r="B36" s="9">
        <v>0.0</v>
      </c>
      <c r="C36" s="9">
        <v>0.0</v>
      </c>
      <c r="D36" s="9">
        <v>58.4</v>
      </c>
      <c r="E36" s="9">
        <v>-71.2</v>
      </c>
      <c r="F36" s="9">
        <v>-3.6</v>
      </c>
      <c r="G36" s="9">
        <v>64.04</v>
      </c>
      <c r="H36" s="49">
        <f t="shared" si="3"/>
        <v>-16.4</v>
      </c>
      <c r="I36" s="49">
        <f t="shared" si="2"/>
        <v>-1050.256</v>
      </c>
      <c r="K36" s="134"/>
      <c r="L36" s="21"/>
      <c r="M36" s="86"/>
    </row>
    <row r="37">
      <c r="A37" s="7">
        <v>45959.0</v>
      </c>
      <c r="B37" s="9">
        <v>0.0</v>
      </c>
      <c r="C37" s="9">
        <v>0.0</v>
      </c>
      <c r="D37" s="9">
        <v>0.0</v>
      </c>
      <c r="E37" s="9">
        <v>0.0</v>
      </c>
      <c r="F37" s="9">
        <v>0.0</v>
      </c>
      <c r="G37" s="9">
        <v>64.03</v>
      </c>
      <c r="H37" s="49">
        <f t="shared" si="3"/>
        <v>0</v>
      </c>
      <c r="I37" s="49">
        <f t="shared" si="2"/>
        <v>0</v>
      </c>
      <c r="K37" s="134"/>
      <c r="L37" s="21"/>
      <c r="M37" s="86"/>
    </row>
    <row r="38">
      <c r="A38" s="7">
        <v>45960.0</v>
      </c>
      <c r="B38" s="9">
        <v>0.0</v>
      </c>
      <c r="C38" s="9">
        <v>0.0</v>
      </c>
      <c r="D38" s="9">
        <v>-21.6</v>
      </c>
      <c r="E38" s="9">
        <v>-28.0</v>
      </c>
      <c r="F38" s="9">
        <v>0.0</v>
      </c>
      <c r="G38" s="9">
        <v>63.93</v>
      </c>
      <c r="H38" s="49">
        <f t="shared" si="3"/>
        <v>-49.6</v>
      </c>
      <c r="I38" s="49">
        <f t="shared" si="2"/>
        <v>-3170.928</v>
      </c>
      <c r="K38" s="134"/>
      <c r="L38" s="21"/>
      <c r="M38" s="86"/>
    </row>
    <row r="39">
      <c r="A39" s="7">
        <v>45961.0</v>
      </c>
      <c r="B39" s="9">
        <v>-1.5</v>
      </c>
      <c r="C39" s="9">
        <v>0.0</v>
      </c>
      <c r="D39" s="9">
        <v>-7.2</v>
      </c>
      <c r="E39" s="9">
        <v>0.0</v>
      </c>
      <c r="F39" s="9">
        <v>7.2</v>
      </c>
      <c r="G39" s="9">
        <v>64.4</v>
      </c>
      <c r="H39" s="49">
        <f t="shared" si="3"/>
        <v>-1.5</v>
      </c>
      <c r="I39" s="49">
        <f t="shared" si="2"/>
        <v>-96.6</v>
      </c>
      <c r="K39" s="136"/>
      <c r="L39" s="169"/>
      <c r="M39" s="90"/>
    </row>
    <row r="40">
      <c r="A40" s="7">
        <v>45964.0</v>
      </c>
      <c r="B40" s="9">
        <v>0.0</v>
      </c>
      <c r="C40" s="9">
        <v>0.0</v>
      </c>
      <c r="D40" s="9">
        <v>14.5</v>
      </c>
      <c r="E40" s="9">
        <v>-17.2</v>
      </c>
      <c r="F40" s="9">
        <v>0.0</v>
      </c>
      <c r="G40" s="9">
        <v>64.68</v>
      </c>
      <c r="H40" s="49">
        <f t="shared" si="3"/>
        <v>-2.7</v>
      </c>
      <c r="I40" s="49">
        <f t="shared" si="2"/>
        <v>-174.636</v>
      </c>
      <c r="K40" s="91"/>
      <c r="L40" s="170"/>
      <c r="M40" s="93"/>
    </row>
    <row r="41">
      <c r="A41" s="7">
        <v>45965.0</v>
      </c>
      <c r="B41" s="9">
        <v>1.5</v>
      </c>
      <c r="C41" s="9">
        <v>0.0</v>
      </c>
      <c r="D41" s="9">
        <v>0.0</v>
      </c>
      <c r="E41" s="9">
        <v>-15.2</v>
      </c>
      <c r="F41" s="9">
        <v>-19.6</v>
      </c>
      <c r="G41" s="9">
        <v>64.16</v>
      </c>
      <c r="H41" s="49">
        <f t="shared" si="3"/>
        <v>-33.3</v>
      </c>
      <c r="I41" s="49">
        <f t="shared" si="2"/>
        <v>-2136.528</v>
      </c>
      <c r="K41" s="94"/>
      <c r="L41" s="171"/>
      <c r="M41" s="96"/>
    </row>
    <row r="42">
      <c r="A42" s="7">
        <v>45966.0</v>
      </c>
      <c r="B42" s="9">
        <v>0.0</v>
      </c>
      <c r="C42" s="9">
        <v>0.0</v>
      </c>
      <c r="D42" s="9">
        <v>-21.6</v>
      </c>
      <c r="E42" s="9">
        <v>0.0</v>
      </c>
      <c r="F42" s="9">
        <v>0.0</v>
      </c>
      <c r="G42" s="9">
        <v>63.81</v>
      </c>
      <c r="H42" s="49">
        <f t="shared" si="3"/>
        <v>-21.6</v>
      </c>
      <c r="I42" s="49">
        <f t="shared" si="2"/>
        <v>-1378.296</v>
      </c>
      <c r="K42" s="91"/>
      <c r="L42" s="170"/>
      <c r="M42" s="93"/>
    </row>
    <row r="43">
      <c r="A43" s="7">
        <v>45967.0</v>
      </c>
      <c r="B43" s="9">
        <v>0.0</v>
      </c>
      <c r="C43" s="9">
        <v>0.0</v>
      </c>
      <c r="D43" s="9">
        <v>-56.8</v>
      </c>
      <c r="E43" s="14">
        <f>-8.4*2</f>
        <v>-16.8</v>
      </c>
      <c r="F43" s="14">
        <f>8.5*2</f>
        <v>17</v>
      </c>
      <c r="G43" s="9">
        <v>63.38</v>
      </c>
      <c r="H43" s="49">
        <f t="shared" si="3"/>
        <v>-56.6</v>
      </c>
      <c r="I43" s="49">
        <f t="shared" si="2"/>
        <v>-3587.308</v>
      </c>
      <c r="K43" s="94"/>
      <c r="L43" s="171"/>
      <c r="M43" s="96"/>
    </row>
    <row r="44">
      <c r="A44" s="7">
        <v>45968.0</v>
      </c>
      <c r="B44" s="9">
        <v>0.0</v>
      </c>
      <c r="C44" s="9">
        <v>-3.2</v>
      </c>
      <c r="D44" s="9">
        <v>0.0</v>
      </c>
      <c r="E44" s="9">
        <v>0.0</v>
      </c>
      <c r="F44" s="9">
        <v>-5.6</v>
      </c>
      <c r="G44" s="9">
        <v>63.6</v>
      </c>
      <c r="H44" s="49">
        <f t="shared" si="3"/>
        <v>-8.8</v>
      </c>
      <c r="I44" s="49">
        <f t="shared" si="2"/>
        <v>-559.68</v>
      </c>
      <c r="K44" s="136"/>
      <c r="L44" s="169"/>
      <c r="M44" s="90"/>
      <c r="O44" s="137" t="s">
        <v>232</v>
      </c>
      <c r="P44" s="33" t="s">
        <v>65</v>
      </c>
      <c r="Q44" s="33" t="s">
        <v>66</v>
      </c>
    </row>
    <row r="45">
      <c r="A45" s="7">
        <v>45971.0</v>
      </c>
      <c r="B45" s="9">
        <v>0.0</v>
      </c>
      <c r="C45" s="9">
        <v>0.0</v>
      </c>
      <c r="D45" s="9">
        <v>49.9</v>
      </c>
      <c r="E45" s="9">
        <v>0.0</v>
      </c>
      <c r="F45" s="9">
        <v>0.0</v>
      </c>
      <c r="G45" s="9">
        <v>63.71</v>
      </c>
      <c r="H45" s="49">
        <f t="shared" si="3"/>
        <v>49.9</v>
      </c>
      <c r="I45" s="49">
        <f t="shared" si="2"/>
        <v>3179.129</v>
      </c>
      <c r="K45" s="137" t="s">
        <v>232</v>
      </c>
      <c r="L45" s="31" t="s">
        <v>65</v>
      </c>
      <c r="M45" s="98" t="s">
        <v>66</v>
      </c>
      <c r="O45" s="33" t="s">
        <v>145</v>
      </c>
      <c r="P45" s="126">
        <v>-5.7</v>
      </c>
      <c r="Q45" s="138">
        <v>63.76</v>
      </c>
    </row>
    <row r="46">
      <c r="A46" s="7">
        <v>45972.0</v>
      </c>
      <c r="B46" s="9">
        <v>0.0</v>
      </c>
      <c r="C46" s="9">
        <v>0.0</v>
      </c>
      <c r="D46" s="9">
        <v>0.0</v>
      </c>
      <c r="E46" s="9">
        <v>-17.2</v>
      </c>
      <c r="F46" s="9">
        <v>-3.6</v>
      </c>
      <c r="G46" s="9">
        <v>64.49</v>
      </c>
      <c r="H46" s="49">
        <f t="shared" si="3"/>
        <v>-20.8</v>
      </c>
      <c r="I46" s="49">
        <f t="shared" si="2"/>
        <v>-1341.392</v>
      </c>
      <c r="K46" s="33" t="s">
        <v>145</v>
      </c>
      <c r="L46" s="172">
        <f>H50</f>
        <v>-5.7</v>
      </c>
      <c r="M46" s="100">
        <f>G50</f>
        <v>63.76</v>
      </c>
      <c r="O46" s="36"/>
      <c r="P46" s="36"/>
      <c r="Q46" s="36"/>
    </row>
    <row r="47">
      <c r="A47" s="7">
        <v>45973.0</v>
      </c>
      <c r="B47" s="9">
        <v>0.0</v>
      </c>
      <c r="C47" s="9">
        <v>0.0</v>
      </c>
      <c r="D47" s="9">
        <v>0.0</v>
      </c>
      <c r="E47" s="9">
        <v>13.2</v>
      </c>
      <c r="F47" s="9">
        <v>21.2</v>
      </c>
      <c r="G47" s="9">
        <v>63.25</v>
      </c>
      <c r="H47" s="49">
        <f t="shared" si="3"/>
        <v>34.4</v>
      </c>
      <c r="I47" s="49">
        <f t="shared" si="2"/>
        <v>2175.8</v>
      </c>
      <c r="K47" s="36"/>
      <c r="L47" s="37"/>
      <c r="M47" s="54"/>
      <c r="O47" s="33" t="s">
        <v>68</v>
      </c>
      <c r="P47" s="131">
        <v>28.9</v>
      </c>
      <c r="Q47" s="103">
        <v>61.81</v>
      </c>
    </row>
    <row r="48">
      <c r="A48" s="7">
        <v>45974.0</v>
      </c>
      <c r="B48" s="9">
        <v>0.0</v>
      </c>
      <c r="C48" s="9">
        <v>0.0</v>
      </c>
      <c r="D48" s="9">
        <v>21.0</v>
      </c>
      <c r="E48" s="9">
        <v>0.0</v>
      </c>
      <c r="F48" s="9">
        <v>0.0</v>
      </c>
      <c r="G48" s="9">
        <v>62.64</v>
      </c>
      <c r="H48" s="49">
        <f t="shared" si="3"/>
        <v>21</v>
      </c>
      <c r="I48" s="49">
        <f t="shared" si="2"/>
        <v>1315.44</v>
      </c>
      <c r="K48" s="33" t="s">
        <v>68</v>
      </c>
      <c r="L48" s="173">
        <f>sum(H46:H50)</f>
        <v>28.9</v>
      </c>
      <c r="M48" s="100">
        <f>SUM(I46:I50)/L48</f>
        <v>61.81370242</v>
      </c>
      <c r="O48" s="36"/>
      <c r="P48" s="36"/>
      <c r="Q48" s="36"/>
    </row>
    <row r="49">
      <c r="A49" s="7">
        <v>45975.0</v>
      </c>
      <c r="B49" s="9">
        <v>0.0</v>
      </c>
      <c r="C49" s="9">
        <v>0.0</v>
      </c>
      <c r="D49" s="9">
        <v>0.0</v>
      </c>
      <c r="E49" s="9">
        <v>0.0</v>
      </c>
      <c r="F49" s="9">
        <v>0.0</v>
      </c>
      <c r="G49" s="9">
        <v>63.81</v>
      </c>
      <c r="H49" s="49">
        <f t="shared" si="3"/>
        <v>0</v>
      </c>
      <c r="I49" s="49">
        <f t="shared" si="2"/>
        <v>0</v>
      </c>
      <c r="K49" s="36"/>
      <c r="L49" s="37"/>
      <c r="M49" s="54"/>
      <c r="O49" s="33" t="s">
        <v>69</v>
      </c>
      <c r="P49" s="174">
        <v>-211.4</v>
      </c>
      <c r="Q49" s="103">
        <v>65.23</v>
      </c>
    </row>
    <row r="50">
      <c r="A50" s="7">
        <v>45978.0</v>
      </c>
      <c r="B50" s="9">
        <v>0.0</v>
      </c>
      <c r="C50" s="9">
        <v>0.0</v>
      </c>
      <c r="D50" s="9">
        <v>0.0</v>
      </c>
      <c r="E50" s="9">
        <v>-2.1</v>
      </c>
      <c r="F50" s="9">
        <v>-3.6</v>
      </c>
      <c r="G50" s="9">
        <v>63.76</v>
      </c>
      <c r="H50" s="49">
        <f t="shared" si="3"/>
        <v>-5.7</v>
      </c>
      <c r="I50" s="49">
        <f t="shared" si="2"/>
        <v>-363.432</v>
      </c>
      <c r="K50" s="33" t="s">
        <v>69</v>
      </c>
      <c r="L50" s="173">
        <f>SUM(H31:H50)</f>
        <v>-211.4</v>
      </c>
      <c r="M50" s="100">
        <f>SUM(I31:I50)/L50</f>
        <v>65.23194891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6" t="s">
        <v>0</v>
      </c>
      <c r="B1" s="146" t="s">
        <v>233</v>
      </c>
      <c r="C1" s="146" t="s">
        <v>234</v>
      </c>
      <c r="D1" s="146" t="s">
        <v>235</v>
      </c>
      <c r="E1" s="146" t="s">
        <v>236</v>
      </c>
      <c r="F1" s="146" t="s">
        <v>237</v>
      </c>
      <c r="G1" s="146" t="s">
        <v>151</v>
      </c>
      <c r="H1" s="146" t="s">
        <v>3</v>
      </c>
    </row>
    <row r="2">
      <c r="A2" s="7">
        <v>45912.0</v>
      </c>
      <c r="B2" s="9">
        <v>31.0</v>
      </c>
      <c r="C2" s="9">
        <v>0.0</v>
      </c>
      <c r="D2" s="9">
        <v>0.0</v>
      </c>
      <c r="E2" s="9">
        <v>0.0</v>
      </c>
    </row>
    <row r="3">
      <c r="A3" s="7">
        <v>45915.0</v>
      </c>
      <c r="B3" s="9">
        <v>-4.2</v>
      </c>
      <c r="C3" s="9">
        <v>1.2</v>
      </c>
      <c r="D3" s="9">
        <v>11.4</v>
      </c>
      <c r="E3" s="9">
        <v>15.0</v>
      </c>
      <c r="F3" s="9">
        <v>3.175</v>
      </c>
      <c r="G3" s="14">
        <f t="shared" ref="G3:G48" si="1">SUM(B3:E3)</f>
        <v>23.4</v>
      </c>
      <c r="H3" s="14">
        <f t="shared" ref="H3:H48" si="2">F3*G3</f>
        <v>74.295</v>
      </c>
    </row>
    <row r="4">
      <c r="A4" s="7">
        <v>45916.0</v>
      </c>
      <c r="B4" s="9">
        <v>-10.3</v>
      </c>
      <c r="C4" s="9">
        <v>0.0</v>
      </c>
      <c r="D4" s="9">
        <v>-10.8</v>
      </c>
      <c r="E4" s="9">
        <v>0.0</v>
      </c>
      <c r="F4" s="9">
        <v>3.225</v>
      </c>
      <c r="G4" s="14">
        <f t="shared" si="1"/>
        <v>-21.1</v>
      </c>
      <c r="H4" s="14">
        <f t="shared" si="2"/>
        <v>-68.0475</v>
      </c>
    </row>
    <row r="5">
      <c r="A5" s="7">
        <v>45917.0</v>
      </c>
      <c r="B5" s="9">
        <v>4.6</v>
      </c>
      <c r="C5" s="9">
        <v>0.0</v>
      </c>
      <c r="D5" s="9">
        <v>-3.4</v>
      </c>
      <c r="E5" s="9">
        <v>0.0</v>
      </c>
      <c r="F5" s="9">
        <v>3.297</v>
      </c>
      <c r="G5" s="14">
        <f t="shared" si="1"/>
        <v>1.2</v>
      </c>
      <c r="H5" s="14">
        <f t="shared" si="2"/>
        <v>3.9564</v>
      </c>
    </row>
    <row r="6">
      <c r="A6" s="7">
        <v>45918.0</v>
      </c>
      <c r="B6" s="9">
        <v>13.8</v>
      </c>
      <c r="C6" s="9">
        <v>0.0</v>
      </c>
      <c r="D6" s="9">
        <v>13.8</v>
      </c>
      <c r="E6" s="9">
        <v>-18.5</v>
      </c>
      <c r="F6" s="9">
        <v>3.228</v>
      </c>
      <c r="G6" s="14">
        <f t="shared" si="1"/>
        <v>9.1</v>
      </c>
      <c r="H6" s="14">
        <f t="shared" si="2"/>
        <v>29.3748</v>
      </c>
    </row>
    <row r="7">
      <c r="A7" s="7">
        <v>45919.0</v>
      </c>
      <c r="B7" s="9">
        <v>38.2</v>
      </c>
      <c r="C7" s="9">
        <v>0.0</v>
      </c>
      <c r="D7" s="9">
        <v>7.4</v>
      </c>
      <c r="E7" s="9">
        <v>-5.1</v>
      </c>
      <c r="F7" s="9">
        <v>3.164</v>
      </c>
      <c r="G7" s="14">
        <f t="shared" si="1"/>
        <v>40.5</v>
      </c>
      <c r="H7" s="14">
        <f t="shared" si="2"/>
        <v>128.142</v>
      </c>
    </row>
    <row r="8">
      <c r="A8" s="7">
        <v>45922.0</v>
      </c>
      <c r="B8" s="9">
        <v>34.5</v>
      </c>
      <c r="C8" s="9">
        <v>1.2</v>
      </c>
      <c r="D8" s="9">
        <v>30.4</v>
      </c>
      <c r="E8" s="9">
        <v>0.0</v>
      </c>
      <c r="F8" s="9">
        <v>3.146</v>
      </c>
      <c r="G8" s="14">
        <f t="shared" si="1"/>
        <v>66.1</v>
      </c>
      <c r="H8" s="14">
        <f t="shared" si="2"/>
        <v>207.9506</v>
      </c>
    </row>
    <row r="9">
      <c r="A9" s="7">
        <v>45923.0</v>
      </c>
      <c r="B9" s="9">
        <v>11.7</v>
      </c>
      <c r="C9" s="9">
        <v>0.0</v>
      </c>
      <c r="D9" s="9">
        <v>8.0</v>
      </c>
      <c r="E9" s="9">
        <v>0.0</v>
      </c>
      <c r="F9" s="9">
        <v>3.106</v>
      </c>
      <c r="G9" s="14">
        <f t="shared" si="1"/>
        <v>19.7</v>
      </c>
      <c r="H9" s="14">
        <f t="shared" si="2"/>
        <v>61.1882</v>
      </c>
    </row>
    <row r="10">
      <c r="A10" s="7">
        <v>45924.0</v>
      </c>
      <c r="B10" s="9">
        <v>0.0</v>
      </c>
      <c r="C10" s="9">
        <v>2.4</v>
      </c>
      <c r="D10" s="9">
        <v>0.0</v>
      </c>
      <c r="E10" s="9">
        <v>0.0</v>
      </c>
      <c r="F10" s="9">
        <v>3.147</v>
      </c>
      <c r="G10" s="14">
        <f t="shared" si="1"/>
        <v>2.4</v>
      </c>
      <c r="H10" s="14">
        <f t="shared" si="2"/>
        <v>7.5528</v>
      </c>
    </row>
    <row r="11">
      <c r="A11" s="7">
        <v>45925.0</v>
      </c>
      <c r="B11" s="9">
        <v>-17.3</v>
      </c>
      <c r="C11" s="9">
        <v>0.0</v>
      </c>
      <c r="D11" s="9">
        <v>7.8</v>
      </c>
      <c r="E11" s="9">
        <v>11.1</v>
      </c>
      <c r="F11" s="9">
        <v>3.213</v>
      </c>
      <c r="G11" s="14">
        <f t="shared" si="1"/>
        <v>1.6</v>
      </c>
      <c r="H11" s="14">
        <f t="shared" si="2"/>
        <v>5.1408</v>
      </c>
    </row>
    <row r="12">
      <c r="A12" s="7">
        <v>45926.0</v>
      </c>
      <c r="B12" s="9">
        <v>23.5</v>
      </c>
      <c r="C12" s="9">
        <v>6.0</v>
      </c>
      <c r="D12" s="9">
        <v>0.0</v>
      </c>
      <c r="E12" s="9">
        <v>5.0</v>
      </c>
      <c r="F12" s="9">
        <v>3.233</v>
      </c>
      <c r="G12" s="14">
        <f t="shared" si="1"/>
        <v>34.5</v>
      </c>
      <c r="H12" s="14">
        <f t="shared" si="2"/>
        <v>111.5385</v>
      </c>
    </row>
    <row r="13">
      <c r="A13" s="7">
        <v>45929.0</v>
      </c>
      <c r="B13" s="9">
        <v>-32.0</v>
      </c>
      <c r="C13" s="9">
        <v>-2.4</v>
      </c>
      <c r="D13" s="9">
        <v>-18.8</v>
      </c>
      <c r="E13" s="9">
        <v>46.6</v>
      </c>
      <c r="F13" s="9">
        <v>3.311</v>
      </c>
      <c r="G13" s="14">
        <f t="shared" si="1"/>
        <v>-6.6</v>
      </c>
      <c r="H13" s="14">
        <f t="shared" si="2"/>
        <v>-21.8526</v>
      </c>
    </row>
    <row r="14">
      <c r="A14" s="7">
        <v>45930.0</v>
      </c>
      <c r="B14" s="9">
        <v>-26.0</v>
      </c>
      <c r="C14" s="9">
        <v>0.0</v>
      </c>
      <c r="D14" s="9">
        <v>-14.4</v>
      </c>
      <c r="E14" s="9">
        <v>-3.9</v>
      </c>
      <c r="F14" s="9">
        <v>3.414</v>
      </c>
      <c r="G14" s="14">
        <f t="shared" si="1"/>
        <v>-44.3</v>
      </c>
      <c r="H14" s="14">
        <f t="shared" si="2"/>
        <v>-151.2402</v>
      </c>
    </row>
    <row r="15">
      <c r="A15" s="7">
        <v>45931.0</v>
      </c>
      <c r="B15" s="9">
        <v>-39.8</v>
      </c>
      <c r="C15" s="9">
        <v>9.4</v>
      </c>
      <c r="D15" s="14">
        <f>-28.3*2</f>
        <v>-56.6</v>
      </c>
      <c r="E15" s="9">
        <v>-24.6</v>
      </c>
      <c r="F15" s="9">
        <v>3.517</v>
      </c>
      <c r="G15" s="14">
        <f t="shared" si="1"/>
        <v>-111.6</v>
      </c>
      <c r="H15" s="14">
        <f t="shared" si="2"/>
        <v>-392.4972</v>
      </c>
    </row>
    <row r="16">
      <c r="A16" s="7">
        <v>45932.0</v>
      </c>
      <c r="B16" s="9">
        <v>-45.7</v>
      </c>
      <c r="C16" s="9">
        <v>0.0</v>
      </c>
      <c r="D16" s="9">
        <v>6.4</v>
      </c>
      <c r="E16" s="9">
        <v>-4.1</v>
      </c>
      <c r="F16" s="9">
        <v>3.599</v>
      </c>
      <c r="G16" s="14">
        <f t="shared" si="1"/>
        <v>-43.4</v>
      </c>
      <c r="H16" s="14">
        <f t="shared" si="2"/>
        <v>-156.1966</v>
      </c>
    </row>
    <row r="17">
      <c r="A17" s="7">
        <v>45933.0</v>
      </c>
      <c r="B17" s="9">
        <v>30.4</v>
      </c>
      <c r="C17" s="9">
        <v>0.0</v>
      </c>
      <c r="D17" s="14">
        <f>4.8*2</f>
        <v>9.6</v>
      </c>
      <c r="E17" s="9">
        <v>-47.3</v>
      </c>
      <c r="F17" s="9">
        <v>3.55</v>
      </c>
      <c r="G17" s="14">
        <f t="shared" si="1"/>
        <v>-7.3</v>
      </c>
      <c r="H17" s="14">
        <f t="shared" si="2"/>
        <v>-25.915</v>
      </c>
    </row>
    <row r="18">
      <c r="A18" s="7">
        <v>45936.0</v>
      </c>
      <c r="B18" s="9">
        <v>-8.9</v>
      </c>
      <c r="C18" s="9">
        <v>0.0</v>
      </c>
      <c r="D18" s="9">
        <v>0.0</v>
      </c>
      <c r="E18" s="9">
        <v>7.8</v>
      </c>
      <c r="F18" s="9">
        <v>3.626</v>
      </c>
      <c r="G18" s="14">
        <f t="shared" si="1"/>
        <v>-1.1</v>
      </c>
      <c r="H18" s="14">
        <f t="shared" si="2"/>
        <v>-3.9886</v>
      </c>
    </row>
    <row r="19">
      <c r="A19" s="7">
        <v>45937.0</v>
      </c>
      <c r="B19" s="9">
        <v>-6.1</v>
      </c>
      <c r="C19" s="9">
        <v>7.2</v>
      </c>
      <c r="D19" s="9">
        <v>-6.8</v>
      </c>
      <c r="E19" s="9">
        <v>0.0</v>
      </c>
      <c r="F19" s="9">
        <v>3.706</v>
      </c>
      <c r="G19" s="14">
        <f t="shared" si="1"/>
        <v>-5.7</v>
      </c>
      <c r="H19" s="14">
        <f t="shared" si="2"/>
        <v>-21.1242</v>
      </c>
    </row>
    <row r="20">
      <c r="A20" s="7">
        <v>45938.0</v>
      </c>
      <c r="B20" s="9">
        <v>24.7</v>
      </c>
      <c r="C20" s="9">
        <v>9.6</v>
      </c>
      <c r="D20" s="9">
        <v>12.4</v>
      </c>
      <c r="E20" s="9">
        <v>0.0</v>
      </c>
      <c r="F20" s="9">
        <v>3.705</v>
      </c>
      <c r="G20" s="14">
        <f t="shared" si="1"/>
        <v>46.7</v>
      </c>
      <c r="H20" s="14">
        <f t="shared" si="2"/>
        <v>173.0235</v>
      </c>
    </row>
    <row r="21">
      <c r="A21" s="7">
        <v>45939.0</v>
      </c>
      <c r="B21" s="9">
        <v>0.0</v>
      </c>
      <c r="C21" s="9">
        <v>1.2</v>
      </c>
      <c r="D21" s="9">
        <v>13.4</v>
      </c>
      <c r="E21" s="9">
        <v>0.0</v>
      </c>
      <c r="F21" s="9">
        <v>3.605</v>
      </c>
      <c r="G21" s="14">
        <f t="shared" si="1"/>
        <v>14.6</v>
      </c>
      <c r="H21" s="14">
        <f t="shared" si="2"/>
        <v>52.633</v>
      </c>
    </row>
    <row r="22">
      <c r="A22" s="7">
        <v>45940.0</v>
      </c>
      <c r="B22" s="9">
        <v>103.2</v>
      </c>
      <c r="C22" s="9">
        <v>0.0</v>
      </c>
      <c r="D22" s="9">
        <v>0.0</v>
      </c>
      <c r="E22" s="9">
        <v>0.0</v>
      </c>
      <c r="F22" s="9">
        <v>3.499</v>
      </c>
      <c r="G22" s="14">
        <f t="shared" si="1"/>
        <v>103.2</v>
      </c>
      <c r="H22" s="14">
        <f t="shared" si="2"/>
        <v>361.0968</v>
      </c>
    </row>
    <row r="23">
      <c r="A23" s="7">
        <v>45943.0</v>
      </c>
      <c r="B23" s="9">
        <v>28.4</v>
      </c>
      <c r="C23" s="9">
        <v>-1.1</v>
      </c>
      <c r="D23" s="9">
        <v>44.6</v>
      </c>
      <c r="E23" s="9">
        <v>37.8</v>
      </c>
      <c r="F23" s="9">
        <v>3.484</v>
      </c>
      <c r="G23" s="14">
        <f t="shared" si="1"/>
        <v>109.7</v>
      </c>
      <c r="H23" s="14">
        <f t="shared" si="2"/>
        <v>382.1948</v>
      </c>
      <c r="J23" s="132"/>
      <c r="K23" s="78"/>
      <c r="L23" s="78"/>
      <c r="N23" s="132"/>
      <c r="O23" s="78"/>
      <c r="P23" s="78"/>
    </row>
    <row r="24">
      <c r="A24" s="7">
        <v>45944.0</v>
      </c>
      <c r="B24" s="9">
        <v>32.4</v>
      </c>
      <c r="C24" s="9">
        <v>0.0</v>
      </c>
      <c r="D24" s="9">
        <v>22.4</v>
      </c>
      <c r="E24" s="9">
        <v>4.9</v>
      </c>
      <c r="F24" s="9">
        <v>3.449</v>
      </c>
      <c r="G24" s="14">
        <f t="shared" si="1"/>
        <v>59.7</v>
      </c>
      <c r="H24" s="14">
        <f t="shared" si="2"/>
        <v>205.9053</v>
      </c>
      <c r="J24" s="133"/>
      <c r="K24" s="45"/>
      <c r="L24" s="45"/>
      <c r="N24" s="78"/>
      <c r="O24" s="115"/>
      <c r="P24" s="150"/>
      <c r="Q24" s="9">
        <v>3.926</v>
      </c>
    </row>
    <row r="25">
      <c r="A25" s="7">
        <v>45945.0</v>
      </c>
      <c r="B25" s="9">
        <v>41.3</v>
      </c>
      <c r="C25" s="9">
        <v>0.0</v>
      </c>
      <c r="D25" s="9">
        <v>11.6</v>
      </c>
      <c r="E25" s="9">
        <v>0.0</v>
      </c>
      <c r="F25" s="9">
        <v>3.439</v>
      </c>
      <c r="G25" s="14">
        <f t="shared" si="1"/>
        <v>52.9</v>
      </c>
      <c r="H25" s="14">
        <f t="shared" si="2"/>
        <v>181.9231</v>
      </c>
      <c r="J25" s="134"/>
      <c r="K25" s="18"/>
      <c r="L25" s="18"/>
      <c r="N25" s="145"/>
      <c r="O25" s="81"/>
      <c r="P25" s="81"/>
    </row>
    <row r="26">
      <c r="A26" s="7">
        <v>45946.0</v>
      </c>
      <c r="B26" s="9">
        <v>2.5</v>
      </c>
      <c r="C26" s="9">
        <v>2.3</v>
      </c>
      <c r="D26" s="9">
        <v>8.0</v>
      </c>
      <c r="E26" s="9">
        <v>15.4</v>
      </c>
      <c r="F26" s="9">
        <v>3.422</v>
      </c>
      <c r="G26" s="14">
        <f t="shared" si="1"/>
        <v>28.2</v>
      </c>
      <c r="H26" s="14">
        <f t="shared" si="2"/>
        <v>96.5004</v>
      </c>
      <c r="J26" s="133"/>
      <c r="K26" s="45"/>
      <c r="L26" s="175"/>
      <c r="N26" s="78"/>
      <c r="O26" s="115"/>
      <c r="P26" s="176"/>
    </row>
    <row r="27">
      <c r="A27" s="7">
        <v>45947.0</v>
      </c>
      <c r="B27" s="9">
        <v>29.8</v>
      </c>
      <c r="C27" s="9">
        <v>0.0</v>
      </c>
      <c r="D27" s="9">
        <v>0.0</v>
      </c>
      <c r="E27" s="9">
        <v>10.4</v>
      </c>
      <c r="F27" s="9">
        <v>3.48</v>
      </c>
      <c r="G27" s="14">
        <f t="shared" si="1"/>
        <v>40.2</v>
      </c>
      <c r="H27" s="14">
        <f t="shared" si="2"/>
        <v>139.896</v>
      </c>
      <c r="J27" s="134"/>
      <c r="K27" s="18"/>
      <c r="L27" s="175"/>
      <c r="N27" s="145"/>
      <c r="O27" s="81"/>
      <c r="P27" s="81"/>
    </row>
    <row r="28">
      <c r="A28" s="7">
        <v>45950.0</v>
      </c>
      <c r="B28" s="9">
        <v>-70.7</v>
      </c>
      <c r="C28" s="9">
        <v>-1.1</v>
      </c>
      <c r="D28" s="9">
        <v>-19.2</v>
      </c>
      <c r="E28" s="9">
        <v>35.7</v>
      </c>
      <c r="F28" s="9">
        <v>3.885</v>
      </c>
      <c r="G28" s="14">
        <f t="shared" si="1"/>
        <v>-55.3</v>
      </c>
      <c r="H28" s="14">
        <f t="shared" si="2"/>
        <v>-214.8405</v>
      </c>
      <c r="J28" s="133"/>
      <c r="K28" s="45"/>
      <c r="L28" s="175"/>
      <c r="N28" s="78"/>
      <c r="O28" s="115"/>
      <c r="P28" s="177"/>
    </row>
    <row r="29">
      <c r="A29" s="7">
        <v>45951.0</v>
      </c>
      <c r="B29" s="9">
        <v>-42.9</v>
      </c>
      <c r="C29" s="9">
        <v>0.0</v>
      </c>
      <c r="D29" s="9">
        <v>-10.0</v>
      </c>
      <c r="E29" s="9">
        <v>-5.2</v>
      </c>
      <c r="F29" s="9">
        <v>3.969</v>
      </c>
      <c r="G29" s="14">
        <f t="shared" si="1"/>
        <v>-58.1</v>
      </c>
      <c r="H29" s="14">
        <f t="shared" si="2"/>
        <v>-230.5989</v>
      </c>
      <c r="J29" s="134"/>
      <c r="K29" s="18"/>
      <c r="L29" s="175"/>
    </row>
    <row r="30">
      <c r="A30" s="7">
        <v>45952.0</v>
      </c>
      <c r="B30" s="9">
        <v>-34.8</v>
      </c>
      <c r="C30" s="9">
        <v>0.0</v>
      </c>
      <c r="D30" s="9">
        <v>-6.6</v>
      </c>
      <c r="E30" s="9">
        <v>-34.2</v>
      </c>
      <c r="F30" s="9">
        <v>3.989</v>
      </c>
      <c r="G30" s="14">
        <f t="shared" si="1"/>
        <v>-75.6</v>
      </c>
      <c r="H30" s="14">
        <f t="shared" si="2"/>
        <v>-301.5684</v>
      </c>
      <c r="J30" s="134"/>
      <c r="K30" s="18"/>
      <c r="L30" s="175"/>
    </row>
    <row r="31">
      <c r="A31" s="7">
        <v>45953.0</v>
      </c>
      <c r="B31" s="9">
        <v>-17.8</v>
      </c>
      <c r="C31" s="9">
        <v>0.0</v>
      </c>
      <c r="D31" s="9">
        <v>3.4</v>
      </c>
      <c r="E31" s="9">
        <v>-16.5</v>
      </c>
      <c r="F31" s="9">
        <v>3.926</v>
      </c>
      <c r="G31" s="14">
        <f t="shared" si="1"/>
        <v>-30.9</v>
      </c>
      <c r="H31" s="14">
        <f t="shared" si="2"/>
        <v>-121.3134</v>
      </c>
      <c r="J31" s="134"/>
      <c r="K31" s="18"/>
      <c r="L31" s="175"/>
    </row>
    <row r="32">
      <c r="A32" s="7">
        <v>45954.0</v>
      </c>
      <c r="B32" s="9">
        <v>14.8</v>
      </c>
      <c r="C32" s="9">
        <v>0.0</v>
      </c>
      <c r="D32" s="9">
        <v>0.0</v>
      </c>
      <c r="E32" s="9">
        <v>-6.5</v>
      </c>
      <c r="F32" s="9">
        <v>3.934</v>
      </c>
      <c r="G32" s="14">
        <f t="shared" si="1"/>
        <v>8.3</v>
      </c>
      <c r="H32" s="14">
        <f t="shared" si="2"/>
        <v>32.6522</v>
      </c>
      <c r="J32" s="134"/>
      <c r="K32" s="18"/>
      <c r="L32" s="175"/>
    </row>
    <row r="33">
      <c r="A33" s="7">
        <v>45957.0</v>
      </c>
      <c r="B33" s="9">
        <v>0.0</v>
      </c>
      <c r="C33" s="9">
        <v>0.0</v>
      </c>
      <c r="D33" s="9">
        <v>0.0</v>
      </c>
      <c r="E33" s="9">
        <v>0.0</v>
      </c>
      <c r="F33" s="9">
        <v>3.985</v>
      </c>
      <c r="G33" s="14">
        <f t="shared" si="1"/>
        <v>0</v>
      </c>
      <c r="H33" s="14">
        <f t="shared" si="2"/>
        <v>0</v>
      </c>
      <c r="J33" s="134"/>
      <c r="K33" s="18"/>
      <c r="L33" s="175"/>
    </row>
    <row r="34">
      <c r="A34" s="7">
        <v>45958.0</v>
      </c>
      <c r="B34" s="9">
        <v>-10.1</v>
      </c>
      <c r="C34" s="9">
        <v>0.0</v>
      </c>
      <c r="D34" s="9">
        <v>37.4</v>
      </c>
      <c r="E34" s="9">
        <v>-20.6</v>
      </c>
      <c r="F34" s="9">
        <v>3.887</v>
      </c>
      <c r="G34" s="14">
        <f t="shared" si="1"/>
        <v>6.7</v>
      </c>
      <c r="H34" s="14">
        <f t="shared" si="2"/>
        <v>26.0429</v>
      </c>
      <c r="J34" s="134"/>
      <c r="K34" s="18"/>
      <c r="L34" s="175"/>
    </row>
    <row r="35">
      <c r="A35" s="7">
        <v>45959.0</v>
      </c>
      <c r="B35" s="9">
        <v>0.0</v>
      </c>
      <c r="C35" s="9">
        <v>0.0</v>
      </c>
      <c r="D35" s="9">
        <v>0.0</v>
      </c>
      <c r="E35" s="9">
        <v>0.0</v>
      </c>
      <c r="F35" s="9">
        <v>3.823</v>
      </c>
      <c r="G35" s="14">
        <f t="shared" si="1"/>
        <v>0</v>
      </c>
      <c r="H35" s="14">
        <f t="shared" si="2"/>
        <v>0</v>
      </c>
      <c r="J35" s="134"/>
      <c r="K35" s="18"/>
      <c r="L35" s="175"/>
    </row>
    <row r="36">
      <c r="A36" s="7">
        <v>45960.0</v>
      </c>
      <c r="B36" s="9">
        <v>-9.3</v>
      </c>
      <c r="C36" s="9">
        <v>0.0</v>
      </c>
      <c r="D36" s="9">
        <v>0.0</v>
      </c>
      <c r="E36" s="9">
        <v>0.0</v>
      </c>
      <c r="F36" s="9">
        <v>4.002</v>
      </c>
      <c r="G36" s="14">
        <f t="shared" si="1"/>
        <v>-9.3</v>
      </c>
      <c r="H36" s="14">
        <f t="shared" si="2"/>
        <v>-37.2186</v>
      </c>
      <c r="J36" s="134"/>
      <c r="K36" s="18"/>
      <c r="L36" s="175"/>
    </row>
    <row r="37">
      <c r="A37" s="7">
        <v>45961.0</v>
      </c>
      <c r="B37" s="9">
        <v>-19.6</v>
      </c>
      <c r="C37" s="9">
        <v>0.0</v>
      </c>
      <c r="D37" s="14">
        <f>-29.7*2</f>
        <v>-59.4</v>
      </c>
      <c r="E37" s="9">
        <v>0.0</v>
      </c>
      <c r="F37" s="9">
        <v>4.133</v>
      </c>
      <c r="G37" s="14">
        <f t="shared" si="1"/>
        <v>-79</v>
      </c>
      <c r="H37" s="14">
        <f t="shared" si="2"/>
        <v>-326.507</v>
      </c>
      <c r="J37" s="136"/>
      <c r="K37" s="91"/>
      <c r="L37" s="178"/>
    </row>
    <row r="38">
      <c r="A38" s="7">
        <v>45964.0</v>
      </c>
      <c r="B38" s="9">
        <v>-51.4</v>
      </c>
      <c r="C38" s="9">
        <v>2.2</v>
      </c>
      <c r="D38" s="9">
        <v>-41.8</v>
      </c>
      <c r="E38" s="9">
        <v>10.6</v>
      </c>
      <c r="F38" s="9">
        <v>4.271</v>
      </c>
      <c r="G38" s="14">
        <f t="shared" si="1"/>
        <v>-80.4</v>
      </c>
      <c r="H38" s="14">
        <f t="shared" si="2"/>
        <v>-343.3884</v>
      </c>
      <c r="J38" s="91"/>
      <c r="K38" s="121"/>
      <c r="L38" s="179"/>
    </row>
    <row r="39">
      <c r="A39" s="7">
        <v>45965.0</v>
      </c>
      <c r="B39" s="9">
        <v>-14.4</v>
      </c>
      <c r="C39" s="9">
        <v>2.3</v>
      </c>
      <c r="D39" s="14">
        <f>-19.7*2</f>
        <v>-39.4</v>
      </c>
      <c r="E39" s="9">
        <v>0.0</v>
      </c>
      <c r="F39" s="9">
        <v>4.366</v>
      </c>
      <c r="G39" s="14">
        <f t="shared" si="1"/>
        <v>-51.5</v>
      </c>
      <c r="H39" s="14">
        <f t="shared" si="2"/>
        <v>-224.849</v>
      </c>
      <c r="J39" s="94"/>
      <c r="K39" s="94"/>
      <c r="L39" s="180"/>
    </row>
    <row r="40">
      <c r="A40" s="7">
        <v>45966.0</v>
      </c>
      <c r="B40" s="9">
        <v>-31.4</v>
      </c>
      <c r="C40" s="9">
        <v>7.9</v>
      </c>
      <c r="D40" s="9">
        <v>-3.0</v>
      </c>
      <c r="E40" s="9">
        <v>-18.2</v>
      </c>
      <c r="F40" s="9">
        <v>4.34</v>
      </c>
      <c r="G40" s="14">
        <f t="shared" si="1"/>
        <v>-44.7</v>
      </c>
      <c r="H40" s="14">
        <f t="shared" si="2"/>
        <v>-193.998</v>
      </c>
      <c r="J40" s="91"/>
      <c r="K40" s="121"/>
      <c r="L40" s="179"/>
    </row>
    <row r="41">
      <c r="A41" s="7">
        <v>45967.0</v>
      </c>
      <c r="B41" s="9">
        <v>-12.5</v>
      </c>
      <c r="C41" s="9">
        <v>10.0</v>
      </c>
      <c r="D41" s="9">
        <v>9.2</v>
      </c>
      <c r="E41" s="9">
        <v>-9.6</v>
      </c>
      <c r="F41" s="9">
        <v>4.423</v>
      </c>
      <c r="G41" s="14">
        <f t="shared" si="1"/>
        <v>-2.9</v>
      </c>
      <c r="H41" s="14">
        <f t="shared" si="2"/>
        <v>-12.8267</v>
      </c>
      <c r="J41" s="94"/>
      <c r="K41" s="94"/>
      <c r="L41" s="180"/>
    </row>
    <row r="42">
      <c r="A42" s="7">
        <v>45968.0</v>
      </c>
      <c r="B42" s="9">
        <v>0.0</v>
      </c>
      <c r="C42" s="9">
        <v>0.0</v>
      </c>
      <c r="D42" s="9">
        <v>-11.6</v>
      </c>
      <c r="E42" s="9">
        <v>-26.7</v>
      </c>
      <c r="F42" s="9">
        <v>4.425</v>
      </c>
      <c r="G42" s="14">
        <f t="shared" si="1"/>
        <v>-38.3</v>
      </c>
      <c r="H42" s="14">
        <f t="shared" si="2"/>
        <v>-169.4775</v>
      </c>
      <c r="J42" s="136"/>
      <c r="K42" s="91"/>
      <c r="L42" s="90"/>
      <c r="N42" s="137" t="s">
        <v>238</v>
      </c>
      <c r="O42" s="33" t="s">
        <v>65</v>
      </c>
      <c r="P42" s="33" t="s">
        <v>66</v>
      </c>
    </row>
    <row r="43">
      <c r="A43" s="7">
        <v>45971.0</v>
      </c>
      <c r="B43" s="9">
        <v>-6.5</v>
      </c>
      <c r="C43" s="9">
        <v>3.5</v>
      </c>
      <c r="D43" s="9">
        <v>0.0</v>
      </c>
      <c r="E43" s="9">
        <v>0.0</v>
      </c>
      <c r="F43" s="9">
        <v>4.498</v>
      </c>
      <c r="G43" s="14">
        <f t="shared" si="1"/>
        <v>-3</v>
      </c>
      <c r="H43" s="14">
        <f t="shared" si="2"/>
        <v>-13.494</v>
      </c>
      <c r="J43" s="137" t="s">
        <v>225</v>
      </c>
      <c r="K43" s="33" t="s">
        <v>65</v>
      </c>
      <c r="L43" s="98" t="s">
        <v>66</v>
      </c>
      <c r="N43" s="33" t="s">
        <v>145</v>
      </c>
      <c r="O43" s="126">
        <v>-8.5</v>
      </c>
      <c r="P43" s="138">
        <v>4.57</v>
      </c>
    </row>
    <row r="44">
      <c r="A44" s="7">
        <v>45972.0</v>
      </c>
      <c r="B44" s="9">
        <v>-24.6</v>
      </c>
      <c r="C44" s="9">
        <v>4.7</v>
      </c>
      <c r="D44" s="14">
        <f>-49.9*2</f>
        <v>-99.8</v>
      </c>
      <c r="E44" s="9">
        <v>-11.2</v>
      </c>
      <c r="F44" s="9">
        <v>4.58</v>
      </c>
      <c r="G44" s="14">
        <f t="shared" si="1"/>
        <v>-130.9</v>
      </c>
      <c r="H44" s="14">
        <f t="shared" si="2"/>
        <v>-599.522</v>
      </c>
      <c r="J44" s="33" t="s">
        <v>145</v>
      </c>
      <c r="K44" s="128">
        <f>G48</f>
        <v>-8.5</v>
      </c>
      <c r="L44" s="100">
        <f>F48</f>
        <v>4.569</v>
      </c>
      <c r="N44" s="36"/>
      <c r="O44" s="36"/>
      <c r="P44" s="36"/>
    </row>
    <row r="45">
      <c r="A45" s="7">
        <v>45973.0</v>
      </c>
      <c r="B45" s="9">
        <v>-17.9</v>
      </c>
      <c r="C45" s="9">
        <v>4.8</v>
      </c>
      <c r="D45" s="9">
        <v>-2.6</v>
      </c>
      <c r="E45" s="9">
        <v>0.0</v>
      </c>
      <c r="F45" s="9">
        <v>4.645</v>
      </c>
      <c r="G45" s="14">
        <f t="shared" si="1"/>
        <v>-15.7</v>
      </c>
      <c r="H45" s="14">
        <f t="shared" si="2"/>
        <v>-72.9265</v>
      </c>
      <c r="J45" s="36"/>
      <c r="K45" s="36"/>
      <c r="L45" s="54"/>
      <c r="N45" s="33" t="s">
        <v>68</v>
      </c>
      <c r="O45" s="126">
        <v>-239.0</v>
      </c>
      <c r="P45" s="181">
        <v>4.62</v>
      </c>
    </row>
    <row r="46">
      <c r="A46" s="7">
        <v>45974.0</v>
      </c>
      <c r="B46" s="9">
        <v>-21.3</v>
      </c>
      <c r="C46" s="9">
        <v>10.7</v>
      </c>
      <c r="D46" s="14">
        <f>-18.9*2</f>
        <v>-37.8</v>
      </c>
      <c r="E46" s="9">
        <v>0.0</v>
      </c>
      <c r="F46" s="9">
        <v>4.705</v>
      </c>
      <c r="G46" s="14">
        <f t="shared" si="1"/>
        <v>-48.4</v>
      </c>
      <c r="H46" s="14">
        <f t="shared" si="2"/>
        <v>-227.722</v>
      </c>
      <c r="J46" s="33" t="s">
        <v>68</v>
      </c>
      <c r="K46" s="128">
        <f>sum(G44:G48)</f>
        <v>-239</v>
      </c>
      <c r="L46" s="100">
        <f>sum(H44:H48)/K46</f>
        <v>4.617361925</v>
      </c>
      <c r="N46" s="36"/>
      <c r="O46" s="36"/>
      <c r="P46" s="36"/>
    </row>
    <row r="47">
      <c r="A47" s="7">
        <v>45975.0</v>
      </c>
      <c r="B47" s="9">
        <v>0.0</v>
      </c>
      <c r="C47" s="9">
        <v>-2.6</v>
      </c>
      <c r="D47" s="9">
        <v>0.0</v>
      </c>
      <c r="E47" s="9">
        <v>-32.9</v>
      </c>
      <c r="F47" s="9">
        <v>4.635</v>
      </c>
      <c r="G47" s="14">
        <f t="shared" si="1"/>
        <v>-35.5</v>
      </c>
      <c r="H47" s="14">
        <f t="shared" si="2"/>
        <v>-164.5425</v>
      </c>
      <c r="J47" s="36"/>
      <c r="K47" s="36"/>
      <c r="L47" s="54"/>
      <c r="N47" s="33" t="s">
        <v>69</v>
      </c>
      <c r="O47" s="126">
        <v>-697.7</v>
      </c>
      <c r="P47" s="181">
        <v>4.33</v>
      </c>
    </row>
    <row r="48">
      <c r="A48" s="7">
        <v>45978.0</v>
      </c>
      <c r="B48" s="9">
        <v>0.0</v>
      </c>
      <c r="C48" s="9">
        <v>0.0</v>
      </c>
      <c r="D48" s="9">
        <v>0.0</v>
      </c>
      <c r="E48" s="9">
        <v>-8.5</v>
      </c>
      <c r="F48" s="9">
        <v>4.569</v>
      </c>
      <c r="G48" s="14">
        <f t="shared" si="1"/>
        <v>-8.5</v>
      </c>
      <c r="H48" s="14">
        <f t="shared" si="2"/>
        <v>-38.8365</v>
      </c>
      <c r="J48" s="33" t="s">
        <v>69</v>
      </c>
      <c r="K48" s="128">
        <f>SUM(G29:G48)</f>
        <v>-697.7</v>
      </c>
      <c r="L48" s="100">
        <f>SUM(H29:H48)/K48</f>
        <v>4.328643113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9" t="s">
        <v>0</v>
      </c>
      <c r="B1" s="110" t="s">
        <v>239</v>
      </c>
      <c r="C1" s="110" t="s">
        <v>240</v>
      </c>
      <c r="D1" s="110" t="s">
        <v>151</v>
      </c>
      <c r="E1" s="110" t="s">
        <v>3</v>
      </c>
    </row>
    <row r="2">
      <c r="A2" s="7">
        <v>45910.0</v>
      </c>
      <c r="B2" s="9">
        <v>0.0</v>
      </c>
      <c r="C2" s="9">
        <v>0.0</v>
      </c>
      <c r="D2" s="9">
        <f t="shared" ref="D2:D50" si="1">SUM(B2)</f>
        <v>0</v>
      </c>
      <c r="E2" s="9">
        <f t="shared" ref="E2:E11" si="2">D2*C2</f>
        <v>0</v>
      </c>
    </row>
    <row r="3">
      <c r="A3" s="7">
        <v>45911.0</v>
      </c>
      <c r="B3" s="9">
        <v>0.0</v>
      </c>
      <c r="C3" s="9">
        <v>0.0</v>
      </c>
      <c r="D3" s="9">
        <f t="shared" si="1"/>
        <v>0</v>
      </c>
      <c r="E3" s="9">
        <f t="shared" si="2"/>
        <v>0</v>
      </c>
    </row>
    <row r="4">
      <c r="A4" s="7">
        <v>45912.0</v>
      </c>
      <c r="B4" s="9">
        <v>0.0</v>
      </c>
      <c r="C4" s="9">
        <v>0.0</v>
      </c>
      <c r="D4" s="9">
        <f t="shared" si="1"/>
        <v>0</v>
      </c>
      <c r="E4" s="9">
        <f t="shared" si="2"/>
        <v>0</v>
      </c>
    </row>
    <row r="5">
      <c r="A5" s="7">
        <v>45915.0</v>
      </c>
      <c r="B5" s="9">
        <v>0.0</v>
      </c>
      <c r="C5" s="9">
        <v>1207.97</v>
      </c>
      <c r="D5" s="9">
        <f t="shared" si="1"/>
        <v>0</v>
      </c>
      <c r="E5" s="9">
        <f t="shared" si="2"/>
        <v>0</v>
      </c>
    </row>
    <row r="6">
      <c r="A6" s="7">
        <v>45916.0</v>
      </c>
      <c r="B6" s="9">
        <v>0.0</v>
      </c>
      <c r="C6" s="9">
        <v>1202.95</v>
      </c>
      <c r="D6" s="9">
        <f t="shared" si="1"/>
        <v>0</v>
      </c>
      <c r="E6" s="9">
        <f t="shared" si="2"/>
        <v>0</v>
      </c>
    </row>
    <row r="7">
      <c r="A7" s="7">
        <v>45917.0</v>
      </c>
      <c r="B7" s="9">
        <v>0.0</v>
      </c>
      <c r="C7" s="9">
        <v>1174.21</v>
      </c>
      <c r="D7" s="9">
        <f t="shared" si="1"/>
        <v>0</v>
      </c>
      <c r="E7" s="9">
        <f t="shared" si="2"/>
        <v>0</v>
      </c>
    </row>
    <row r="8">
      <c r="A8" s="7">
        <v>45918.0</v>
      </c>
      <c r="B8" s="9">
        <v>0.0</v>
      </c>
      <c r="C8" s="9">
        <v>1161.42</v>
      </c>
      <c r="D8" s="9">
        <f t="shared" si="1"/>
        <v>0</v>
      </c>
      <c r="E8" s="9">
        <f t="shared" si="2"/>
        <v>0</v>
      </c>
    </row>
    <row r="9">
      <c r="A9" s="7">
        <v>45919.0</v>
      </c>
      <c r="B9" s="9">
        <v>0.0</v>
      </c>
      <c r="C9" s="9">
        <v>1163.46</v>
      </c>
      <c r="D9" s="9">
        <f t="shared" si="1"/>
        <v>0</v>
      </c>
      <c r="E9" s="9">
        <f t="shared" si="2"/>
        <v>0</v>
      </c>
    </row>
    <row r="10">
      <c r="A10" s="7">
        <v>45922.0</v>
      </c>
      <c r="B10" s="9">
        <v>0.0</v>
      </c>
      <c r="C10" s="9">
        <v>1179.76</v>
      </c>
      <c r="D10" s="9">
        <f t="shared" si="1"/>
        <v>0</v>
      </c>
      <c r="E10" s="9">
        <f t="shared" si="2"/>
        <v>0</v>
      </c>
    </row>
    <row r="11">
      <c r="A11" s="7">
        <v>45923.0</v>
      </c>
      <c r="B11" s="9">
        <v>0.0</v>
      </c>
      <c r="C11" s="9">
        <v>1218.38</v>
      </c>
      <c r="D11" s="9">
        <f t="shared" si="1"/>
        <v>0</v>
      </c>
      <c r="E11" s="9">
        <f t="shared" si="2"/>
        <v>0</v>
      </c>
    </row>
    <row r="12">
      <c r="A12" s="7">
        <v>45924.0</v>
      </c>
      <c r="B12" s="9">
        <v>22.4</v>
      </c>
      <c r="C12" s="9">
        <v>1230.27</v>
      </c>
      <c r="D12" s="9">
        <f t="shared" si="1"/>
        <v>22.4</v>
      </c>
      <c r="E12" s="9">
        <v>27558.048</v>
      </c>
    </row>
    <row r="13">
      <c r="A13" s="7">
        <v>45925.0</v>
      </c>
      <c r="B13" s="9">
        <v>0.0</v>
      </c>
      <c r="C13" s="9">
        <v>1240.68</v>
      </c>
      <c r="D13" s="9">
        <f t="shared" si="1"/>
        <v>0</v>
      </c>
      <c r="E13" s="9">
        <f t="shared" ref="E13:E50" si="3">D13*C13</f>
        <v>0</v>
      </c>
    </row>
    <row r="14">
      <c r="A14" s="7">
        <v>45926.0</v>
      </c>
      <c r="B14" s="9">
        <v>22.5</v>
      </c>
      <c r="C14" s="9">
        <v>1277.03</v>
      </c>
      <c r="D14" s="9">
        <f t="shared" si="1"/>
        <v>22.5</v>
      </c>
      <c r="E14" s="9">
        <f t="shared" si="3"/>
        <v>28733.175</v>
      </c>
    </row>
    <row r="15">
      <c r="A15" s="7">
        <v>45929.0</v>
      </c>
      <c r="B15" s="9">
        <v>0.0</v>
      </c>
      <c r="C15" s="9">
        <v>1290.29</v>
      </c>
      <c r="D15" s="9">
        <f t="shared" si="1"/>
        <v>0</v>
      </c>
      <c r="E15" s="9">
        <f t="shared" si="3"/>
        <v>0</v>
      </c>
    </row>
    <row r="16">
      <c r="A16" s="7">
        <v>45930.0</v>
      </c>
      <c r="B16" s="9">
        <v>0.0</v>
      </c>
      <c r="C16" s="9">
        <v>1276.48</v>
      </c>
      <c r="D16" s="9">
        <f t="shared" si="1"/>
        <v>0</v>
      </c>
      <c r="E16" s="9">
        <f t="shared" si="3"/>
        <v>0</v>
      </c>
    </row>
    <row r="17">
      <c r="A17" s="7">
        <v>45931.0</v>
      </c>
      <c r="B17" s="9">
        <v>0.0</v>
      </c>
      <c r="C17" s="9">
        <v>1271.5</v>
      </c>
      <c r="D17" s="9">
        <f t="shared" si="1"/>
        <v>0</v>
      </c>
      <c r="E17" s="9">
        <f t="shared" si="3"/>
        <v>0</v>
      </c>
      <c r="F17" s="9" t="s">
        <v>224</v>
      </c>
    </row>
    <row r="18">
      <c r="A18" s="7">
        <v>45932.0</v>
      </c>
      <c r="B18" s="9">
        <v>0.0</v>
      </c>
      <c r="C18" s="9">
        <v>1260.49</v>
      </c>
      <c r="D18" s="9">
        <f t="shared" si="1"/>
        <v>0</v>
      </c>
      <c r="E18" s="9">
        <f t="shared" si="3"/>
        <v>0</v>
      </c>
    </row>
    <row r="19">
      <c r="A19" s="7">
        <v>45933.0</v>
      </c>
      <c r="B19" s="9">
        <v>0.0</v>
      </c>
      <c r="C19" s="9">
        <v>1263.0</v>
      </c>
      <c r="D19" s="9">
        <f t="shared" si="1"/>
        <v>0</v>
      </c>
      <c r="E19" s="9">
        <f t="shared" si="3"/>
        <v>0</v>
      </c>
    </row>
    <row r="20">
      <c r="A20" s="7">
        <v>45936.0</v>
      </c>
      <c r="B20" s="9">
        <v>34.5</v>
      </c>
      <c r="C20" s="9">
        <v>1302.68</v>
      </c>
      <c r="D20" s="49">
        <f t="shared" si="1"/>
        <v>34.5</v>
      </c>
      <c r="E20" s="49">
        <f t="shared" si="3"/>
        <v>44942.46</v>
      </c>
    </row>
    <row r="21">
      <c r="A21" s="7">
        <v>45937.0</v>
      </c>
      <c r="B21" s="9">
        <v>29.2</v>
      </c>
      <c r="C21" s="9">
        <v>1356.66</v>
      </c>
      <c r="D21" s="49">
        <f t="shared" si="1"/>
        <v>29.2</v>
      </c>
      <c r="E21" s="49">
        <f t="shared" si="3"/>
        <v>39614.472</v>
      </c>
    </row>
    <row r="22">
      <c r="A22" s="7">
        <v>45938.0</v>
      </c>
      <c r="B22" s="9">
        <v>0.0</v>
      </c>
      <c r="C22" s="9">
        <v>1424.0</v>
      </c>
      <c r="D22" s="49">
        <f t="shared" si="1"/>
        <v>0</v>
      </c>
      <c r="E22" s="49">
        <f t="shared" si="3"/>
        <v>0</v>
      </c>
    </row>
    <row r="23">
      <c r="A23" s="7">
        <v>45939.0</v>
      </c>
      <c r="B23" s="9">
        <v>38.6</v>
      </c>
      <c r="C23" s="9">
        <v>1468.43</v>
      </c>
      <c r="D23" s="49">
        <f t="shared" si="1"/>
        <v>38.6</v>
      </c>
      <c r="E23" s="49">
        <f t="shared" si="3"/>
        <v>56681.398</v>
      </c>
    </row>
    <row r="24">
      <c r="A24" s="7">
        <v>45940.0</v>
      </c>
      <c r="B24" s="9">
        <v>0.0</v>
      </c>
      <c r="C24" s="9">
        <v>1447.31</v>
      </c>
      <c r="D24" s="49">
        <f t="shared" si="1"/>
        <v>0</v>
      </c>
      <c r="E24" s="49">
        <f t="shared" si="3"/>
        <v>0</v>
      </c>
    </row>
    <row r="25">
      <c r="A25" s="7">
        <v>45943.0</v>
      </c>
      <c r="B25" s="9">
        <v>0.0</v>
      </c>
      <c r="C25" s="9">
        <v>1486.47</v>
      </c>
      <c r="D25" s="49">
        <f t="shared" si="1"/>
        <v>0</v>
      </c>
      <c r="E25" s="49">
        <f t="shared" si="3"/>
        <v>0</v>
      </c>
      <c r="G25" s="132"/>
      <c r="H25" s="78"/>
      <c r="I25" s="78"/>
      <c r="K25" s="132"/>
      <c r="L25" s="78"/>
      <c r="M25" s="78"/>
    </row>
    <row r="26">
      <c r="A26" s="7">
        <v>45944.0</v>
      </c>
      <c r="B26" s="9">
        <v>-6.6</v>
      </c>
      <c r="C26" s="9">
        <v>1542.85</v>
      </c>
      <c r="D26" s="49">
        <f t="shared" si="1"/>
        <v>-6.6</v>
      </c>
      <c r="E26" s="49">
        <f t="shared" si="3"/>
        <v>-10182.81</v>
      </c>
      <c r="G26" s="133"/>
      <c r="H26" s="45"/>
      <c r="I26" s="45"/>
      <c r="K26" s="78"/>
      <c r="L26" s="115"/>
      <c r="M26" s="150"/>
    </row>
    <row r="27">
      <c r="A27" s="7">
        <v>45945.0</v>
      </c>
      <c r="B27" s="9">
        <v>0.0</v>
      </c>
      <c r="C27" s="9">
        <v>1583.79</v>
      </c>
      <c r="D27" s="49">
        <f t="shared" si="1"/>
        <v>0</v>
      </c>
      <c r="E27" s="49">
        <f t="shared" si="3"/>
        <v>0</v>
      </c>
      <c r="G27" s="134"/>
      <c r="H27" s="18"/>
      <c r="I27" s="18"/>
      <c r="K27" s="145"/>
      <c r="L27" s="81"/>
      <c r="M27" s="81"/>
    </row>
    <row r="28">
      <c r="A28" s="7">
        <v>45946.0</v>
      </c>
      <c r="B28" s="9">
        <v>0.0</v>
      </c>
      <c r="C28" s="9">
        <v>1631.74</v>
      </c>
      <c r="D28" s="49">
        <f t="shared" si="1"/>
        <v>0</v>
      </c>
      <c r="E28" s="49">
        <f t="shared" si="3"/>
        <v>0</v>
      </c>
      <c r="G28" s="133"/>
      <c r="H28" s="45"/>
      <c r="I28" s="45"/>
      <c r="K28" s="78"/>
      <c r="L28" s="115"/>
      <c r="M28" s="150"/>
    </row>
    <row r="29">
      <c r="A29" s="7">
        <v>45947.0</v>
      </c>
      <c r="B29" s="9">
        <v>0.0</v>
      </c>
      <c r="C29" s="9">
        <v>1558.6</v>
      </c>
      <c r="D29" s="49">
        <f t="shared" si="1"/>
        <v>0</v>
      </c>
      <c r="E29" s="49">
        <f t="shared" si="3"/>
        <v>0</v>
      </c>
      <c r="G29" s="134"/>
      <c r="H29" s="18"/>
      <c r="I29" s="18"/>
      <c r="K29" s="145"/>
      <c r="L29" s="81"/>
      <c r="M29" s="81"/>
    </row>
    <row r="30">
      <c r="A30" s="7">
        <v>45950.0</v>
      </c>
      <c r="B30" s="9">
        <v>0.0</v>
      </c>
      <c r="C30" s="9">
        <v>1505.68</v>
      </c>
      <c r="D30" s="49">
        <f t="shared" si="1"/>
        <v>0</v>
      </c>
      <c r="E30" s="49">
        <f t="shared" si="3"/>
        <v>0</v>
      </c>
      <c r="G30" s="133"/>
      <c r="H30" s="45"/>
      <c r="I30" s="86"/>
      <c r="K30" s="78"/>
      <c r="L30" s="115"/>
      <c r="M30" s="83"/>
    </row>
    <row r="31">
      <c r="A31" s="7">
        <v>45951.0</v>
      </c>
      <c r="B31" s="9">
        <v>0.0</v>
      </c>
      <c r="C31" s="9">
        <v>1450.68</v>
      </c>
      <c r="D31" s="49">
        <f t="shared" si="1"/>
        <v>0</v>
      </c>
      <c r="E31" s="49">
        <f t="shared" si="3"/>
        <v>0</v>
      </c>
      <c r="G31" s="134"/>
      <c r="H31" s="18"/>
      <c r="I31" s="86"/>
    </row>
    <row r="32">
      <c r="A32" s="7">
        <v>45952.0</v>
      </c>
      <c r="B32" s="9">
        <v>0.0</v>
      </c>
      <c r="C32" s="9">
        <v>1468.1</v>
      </c>
      <c r="D32" s="49">
        <f t="shared" si="1"/>
        <v>0</v>
      </c>
      <c r="E32" s="49">
        <f t="shared" si="3"/>
        <v>0</v>
      </c>
      <c r="G32" s="134"/>
      <c r="H32" s="18"/>
      <c r="I32" s="86"/>
    </row>
    <row r="33">
      <c r="A33" s="7">
        <v>45953.0</v>
      </c>
      <c r="B33" s="9">
        <v>-19.4</v>
      </c>
      <c r="C33" s="9">
        <v>1483.39</v>
      </c>
      <c r="D33" s="49">
        <f t="shared" si="1"/>
        <v>-19.4</v>
      </c>
      <c r="E33" s="49">
        <f t="shared" si="3"/>
        <v>-28777.766</v>
      </c>
      <c r="G33" s="134"/>
      <c r="H33" s="18"/>
      <c r="I33" s="86"/>
    </row>
    <row r="34">
      <c r="A34" s="7">
        <v>45954.0</v>
      </c>
      <c r="B34" s="9">
        <v>0.0</v>
      </c>
      <c r="C34" s="9">
        <v>1449.76</v>
      </c>
      <c r="D34" s="49">
        <f t="shared" si="1"/>
        <v>0</v>
      </c>
      <c r="E34" s="49">
        <f t="shared" si="3"/>
        <v>0</v>
      </c>
      <c r="G34" s="134"/>
      <c r="H34" s="18"/>
      <c r="I34" s="86"/>
    </row>
    <row r="35">
      <c r="A35" s="7">
        <v>45957.0</v>
      </c>
      <c r="B35" s="9">
        <v>0.0</v>
      </c>
      <c r="C35" s="9">
        <v>1412.29</v>
      </c>
      <c r="D35" s="49">
        <f t="shared" si="1"/>
        <v>0</v>
      </c>
      <c r="E35" s="49">
        <f t="shared" si="3"/>
        <v>0</v>
      </c>
      <c r="G35" s="134"/>
      <c r="H35" s="18"/>
      <c r="I35" s="86"/>
    </row>
    <row r="36">
      <c r="A36" s="7">
        <v>45958.0</v>
      </c>
      <c r="B36" s="9">
        <v>0.0</v>
      </c>
      <c r="C36" s="9">
        <v>1395.47</v>
      </c>
      <c r="D36" s="49">
        <f t="shared" si="1"/>
        <v>0</v>
      </c>
      <c r="E36" s="49">
        <f t="shared" si="3"/>
        <v>0</v>
      </c>
      <c r="G36" s="134"/>
      <c r="H36" s="18"/>
      <c r="I36" s="86"/>
    </row>
    <row r="37">
      <c r="A37" s="7">
        <v>45959.0</v>
      </c>
      <c r="B37" s="9">
        <v>0.0</v>
      </c>
      <c r="C37" s="9">
        <v>1413.94</v>
      </c>
      <c r="D37" s="49">
        <f t="shared" si="1"/>
        <v>0</v>
      </c>
      <c r="E37" s="49">
        <f t="shared" si="3"/>
        <v>0</v>
      </c>
      <c r="G37" s="134"/>
      <c r="H37" s="18"/>
      <c r="I37" s="86"/>
    </row>
    <row r="38">
      <c r="A38" s="7">
        <v>45960.0</v>
      </c>
      <c r="B38" s="9">
        <v>0.0</v>
      </c>
      <c r="C38" s="9">
        <v>1446.22</v>
      </c>
      <c r="D38" s="49">
        <f t="shared" si="1"/>
        <v>0</v>
      </c>
      <c r="E38" s="49">
        <f t="shared" si="3"/>
        <v>0</v>
      </c>
      <c r="G38" s="134"/>
      <c r="H38" s="18"/>
      <c r="I38" s="86"/>
    </row>
    <row r="39">
      <c r="A39" s="7">
        <v>45961.0</v>
      </c>
      <c r="B39" s="9">
        <v>0.0</v>
      </c>
      <c r="C39" s="9">
        <v>1462.68</v>
      </c>
      <c r="D39" s="49">
        <f t="shared" si="1"/>
        <v>0</v>
      </c>
      <c r="E39" s="49">
        <f t="shared" si="3"/>
        <v>0</v>
      </c>
      <c r="G39" s="136"/>
      <c r="H39" s="91"/>
      <c r="I39" s="90"/>
    </row>
    <row r="40">
      <c r="A40" s="7">
        <v>45964.0</v>
      </c>
      <c r="B40" s="9">
        <v>0.0</v>
      </c>
      <c r="C40" s="9">
        <v>1451.57</v>
      </c>
      <c r="D40" s="49">
        <f t="shared" si="1"/>
        <v>0</v>
      </c>
      <c r="E40" s="49">
        <f t="shared" si="3"/>
        <v>0</v>
      </c>
      <c r="G40" s="91"/>
      <c r="H40" s="121"/>
      <c r="I40" s="93"/>
    </row>
    <row r="41">
      <c r="A41" s="7">
        <v>45965.0</v>
      </c>
      <c r="B41" s="9">
        <v>0.0</v>
      </c>
      <c r="C41" s="9">
        <v>1420.55</v>
      </c>
      <c r="D41" s="49">
        <f t="shared" si="1"/>
        <v>0</v>
      </c>
      <c r="E41" s="49">
        <f t="shared" si="3"/>
        <v>0</v>
      </c>
      <c r="G41" s="94"/>
      <c r="H41" s="94"/>
      <c r="I41" s="96"/>
    </row>
    <row r="42">
      <c r="A42" s="7">
        <v>45966.0</v>
      </c>
      <c r="B42" s="9">
        <v>0.0</v>
      </c>
      <c r="C42" s="9">
        <v>1418.91</v>
      </c>
      <c r="D42" s="49">
        <f t="shared" si="1"/>
        <v>0</v>
      </c>
      <c r="E42" s="49">
        <f t="shared" si="3"/>
        <v>0</v>
      </c>
      <c r="G42" s="91"/>
      <c r="H42" s="121"/>
      <c r="I42" s="93"/>
    </row>
    <row r="43">
      <c r="A43" s="7">
        <v>45967.0</v>
      </c>
      <c r="B43" s="9">
        <v>-14.5</v>
      </c>
      <c r="C43" s="9">
        <v>1399.82</v>
      </c>
      <c r="D43" s="49">
        <f t="shared" si="1"/>
        <v>-14.5</v>
      </c>
      <c r="E43" s="49">
        <f t="shared" si="3"/>
        <v>-20297.39</v>
      </c>
      <c r="G43" s="94"/>
      <c r="H43" s="94"/>
      <c r="I43" s="96"/>
    </row>
    <row r="44">
      <c r="A44" s="7">
        <v>45968.0</v>
      </c>
      <c r="B44" s="9">
        <v>0.0</v>
      </c>
      <c r="C44" s="9">
        <v>1393.94</v>
      </c>
      <c r="D44" s="49">
        <f t="shared" si="1"/>
        <v>0</v>
      </c>
      <c r="E44" s="49">
        <f t="shared" si="3"/>
        <v>0</v>
      </c>
      <c r="G44" s="136"/>
      <c r="H44" s="91"/>
      <c r="I44" s="90"/>
      <c r="K44" s="137" t="s">
        <v>241</v>
      </c>
      <c r="L44" s="33" t="s">
        <v>65</v>
      </c>
      <c r="M44" s="33" t="s">
        <v>66</v>
      </c>
    </row>
    <row r="45">
      <c r="A45" s="7">
        <v>45971.0</v>
      </c>
      <c r="B45" s="9">
        <v>0.0</v>
      </c>
      <c r="C45" s="9">
        <v>1424.78</v>
      </c>
      <c r="D45" s="49">
        <f t="shared" si="1"/>
        <v>0</v>
      </c>
      <c r="E45" s="49">
        <f t="shared" si="3"/>
        <v>0</v>
      </c>
      <c r="G45" s="137" t="s">
        <v>242</v>
      </c>
      <c r="H45" s="33" t="s">
        <v>65</v>
      </c>
      <c r="I45" s="98" t="s">
        <v>66</v>
      </c>
      <c r="K45" s="33" t="s">
        <v>145</v>
      </c>
      <c r="L45" s="147">
        <v>0.0</v>
      </c>
      <c r="M45" s="138" t="s">
        <v>178</v>
      </c>
    </row>
    <row r="46">
      <c r="A46" s="7">
        <v>45972.0</v>
      </c>
      <c r="B46" s="9">
        <v>0.0</v>
      </c>
      <c r="C46" s="9">
        <v>1456.77</v>
      </c>
      <c r="D46" s="49">
        <f t="shared" si="1"/>
        <v>0</v>
      </c>
      <c r="E46" s="49">
        <f t="shared" si="3"/>
        <v>0</v>
      </c>
      <c r="G46" s="33" t="s">
        <v>145</v>
      </c>
      <c r="H46" s="128">
        <f>D50</f>
        <v>0</v>
      </c>
      <c r="I46" s="100">
        <f>C50</f>
        <v>1402.19</v>
      </c>
      <c r="K46" s="36"/>
      <c r="L46" s="36"/>
      <c r="M46" s="36"/>
    </row>
    <row r="47">
      <c r="A47" s="7">
        <v>45973.0</v>
      </c>
      <c r="B47" s="9">
        <v>0.0</v>
      </c>
      <c r="C47" s="9">
        <v>1480.68</v>
      </c>
      <c r="D47" s="49">
        <f t="shared" si="1"/>
        <v>0</v>
      </c>
      <c r="E47" s="49">
        <f t="shared" si="3"/>
        <v>0</v>
      </c>
      <c r="G47" s="36"/>
      <c r="H47" s="36"/>
      <c r="I47" s="54"/>
      <c r="K47" s="33" t="s">
        <v>68</v>
      </c>
      <c r="L47" s="147">
        <v>0.0</v>
      </c>
      <c r="M47" s="138" t="s">
        <v>178</v>
      </c>
    </row>
    <row r="48">
      <c r="A48" s="7">
        <v>45974.0</v>
      </c>
      <c r="B48" s="9">
        <v>0.0</v>
      </c>
      <c r="C48" s="9">
        <v>1469.1</v>
      </c>
      <c r="D48" s="49">
        <f t="shared" si="1"/>
        <v>0</v>
      </c>
      <c r="E48" s="49">
        <f t="shared" si="3"/>
        <v>0</v>
      </c>
      <c r="G48" s="33" t="s">
        <v>68</v>
      </c>
      <c r="H48" s="128">
        <f>sum(D46:D50)</f>
        <v>0</v>
      </c>
      <c r="I48" s="100" t="str">
        <f>SUM(E46:E50)/H48</f>
        <v>#DIV/0!</v>
      </c>
      <c r="K48" s="36"/>
      <c r="L48" s="36"/>
      <c r="M48" s="36"/>
    </row>
    <row r="49">
      <c r="A49" s="7">
        <v>45975.0</v>
      </c>
      <c r="B49" s="9">
        <v>0.0</v>
      </c>
      <c r="C49" s="9">
        <v>1414.81</v>
      </c>
      <c r="D49" s="49">
        <f t="shared" si="1"/>
        <v>0</v>
      </c>
      <c r="E49" s="49">
        <f t="shared" si="3"/>
        <v>0</v>
      </c>
      <c r="G49" s="36"/>
      <c r="H49" s="36"/>
      <c r="I49" s="54"/>
      <c r="K49" s="33" t="s">
        <v>69</v>
      </c>
      <c r="L49" s="126">
        <v>-33.9</v>
      </c>
      <c r="M49" s="103">
        <v>1447.64</v>
      </c>
    </row>
    <row r="50">
      <c r="A50" s="7">
        <v>45978.0</v>
      </c>
      <c r="B50" s="9">
        <v>0.0</v>
      </c>
      <c r="C50" s="9">
        <v>1402.19</v>
      </c>
      <c r="D50" s="49">
        <f t="shared" si="1"/>
        <v>0</v>
      </c>
      <c r="E50" s="49">
        <f t="shared" si="3"/>
        <v>0</v>
      </c>
      <c r="G50" s="33" t="s">
        <v>69</v>
      </c>
      <c r="H50" s="128">
        <f>sum(D31:D50)</f>
        <v>-33.9</v>
      </c>
      <c r="I50" s="100">
        <f>SUM(E31:E50)/H50</f>
        <v>1447.64472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9" t="s">
        <v>0</v>
      </c>
      <c r="B1" s="110" t="s">
        <v>243</v>
      </c>
      <c r="C1" s="110" t="s">
        <v>244</v>
      </c>
      <c r="D1" s="110" t="s">
        <v>245</v>
      </c>
      <c r="E1" s="110" t="s">
        <v>151</v>
      </c>
      <c r="F1" s="110" t="s">
        <v>3</v>
      </c>
    </row>
    <row r="2">
      <c r="A2" s="7">
        <v>45910.0</v>
      </c>
      <c r="B2" s="9">
        <v>18.8</v>
      </c>
      <c r="C2" s="9">
        <v>0.0</v>
      </c>
      <c r="D2" s="9">
        <v>0.0</v>
      </c>
      <c r="E2" s="9">
        <f t="shared" ref="E2:E50" si="1">SUM(B2:C2)</f>
        <v>18.8</v>
      </c>
      <c r="F2" s="9">
        <f t="shared" ref="F2:F50" si="2">E2*D2</f>
        <v>0</v>
      </c>
    </row>
    <row r="3">
      <c r="A3" s="7">
        <v>45911.0</v>
      </c>
      <c r="B3" s="9">
        <v>0.0</v>
      </c>
      <c r="C3" s="9">
        <v>0.0</v>
      </c>
      <c r="D3" s="9">
        <v>0.0</v>
      </c>
      <c r="E3" s="9">
        <f t="shared" si="1"/>
        <v>0</v>
      </c>
      <c r="F3" s="9">
        <f t="shared" si="2"/>
        <v>0</v>
      </c>
    </row>
    <row r="4">
      <c r="A4" s="7">
        <v>45912.0</v>
      </c>
      <c r="B4" s="9">
        <v>0.0</v>
      </c>
      <c r="C4" s="9">
        <v>0.0</v>
      </c>
      <c r="D4" s="9">
        <v>0.0</v>
      </c>
      <c r="E4" s="9">
        <f t="shared" si="1"/>
        <v>0</v>
      </c>
      <c r="F4" s="9">
        <f t="shared" si="2"/>
        <v>0</v>
      </c>
    </row>
    <row r="5">
      <c r="A5" s="7">
        <v>45915.0</v>
      </c>
      <c r="B5" s="9">
        <v>0.0</v>
      </c>
      <c r="C5" s="9">
        <v>0.0</v>
      </c>
      <c r="D5" s="9">
        <v>1405.06</v>
      </c>
      <c r="E5" s="9">
        <f t="shared" si="1"/>
        <v>0</v>
      </c>
      <c r="F5" s="9">
        <f t="shared" si="2"/>
        <v>0</v>
      </c>
    </row>
    <row r="6">
      <c r="A6" s="7">
        <v>45916.0</v>
      </c>
      <c r="B6" s="9">
        <v>0.0</v>
      </c>
      <c r="C6" s="9">
        <v>2.0</v>
      </c>
      <c r="D6" s="9">
        <v>1406.04</v>
      </c>
      <c r="E6" s="9">
        <f t="shared" si="1"/>
        <v>2</v>
      </c>
      <c r="F6" s="9">
        <f t="shared" si="2"/>
        <v>2812.08</v>
      </c>
    </row>
    <row r="7">
      <c r="A7" s="7">
        <v>45917.0</v>
      </c>
      <c r="B7" s="9">
        <v>0.0</v>
      </c>
      <c r="C7" s="9">
        <v>0.0</v>
      </c>
      <c r="D7" s="9">
        <v>1380.07</v>
      </c>
      <c r="E7" s="9">
        <f t="shared" si="1"/>
        <v>0</v>
      </c>
      <c r="F7" s="9">
        <f t="shared" si="2"/>
        <v>0</v>
      </c>
    </row>
    <row r="8">
      <c r="A8" s="7">
        <v>45918.0</v>
      </c>
      <c r="B8" s="9">
        <v>-18.7</v>
      </c>
      <c r="C8" s="9">
        <v>0.0</v>
      </c>
      <c r="D8" s="9">
        <v>1382.02</v>
      </c>
      <c r="E8" s="9">
        <f t="shared" si="1"/>
        <v>-18.7</v>
      </c>
      <c r="F8" s="9">
        <f t="shared" si="2"/>
        <v>-25843.774</v>
      </c>
    </row>
    <row r="9">
      <c r="A9" s="7">
        <v>45919.0</v>
      </c>
      <c r="B9" s="9">
        <v>0.0</v>
      </c>
      <c r="C9" s="9">
        <v>0.0</v>
      </c>
      <c r="D9" s="9">
        <v>1402.32</v>
      </c>
      <c r="E9" s="9">
        <f t="shared" si="1"/>
        <v>0</v>
      </c>
      <c r="F9" s="9">
        <f t="shared" si="2"/>
        <v>0</v>
      </c>
    </row>
    <row r="10">
      <c r="A10" s="7">
        <v>45922.0</v>
      </c>
      <c r="B10" s="9">
        <v>-19.0</v>
      </c>
      <c r="C10" s="9">
        <v>0.0</v>
      </c>
      <c r="D10" s="9">
        <v>1416.09</v>
      </c>
      <c r="E10" s="9">
        <f t="shared" si="1"/>
        <v>-19</v>
      </c>
      <c r="F10" s="9">
        <f t="shared" si="2"/>
        <v>-26905.71</v>
      </c>
    </row>
    <row r="11">
      <c r="A11" s="7">
        <v>45923.0</v>
      </c>
      <c r="B11" s="9">
        <v>32.1</v>
      </c>
      <c r="C11" s="9">
        <v>0.0</v>
      </c>
      <c r="D11" s="9">
        <v>1455.8</v>
      </c>
      <c r="E11" s="9">
        <f t="shared" si="1"/>
        <v>32.1</v>
      </c>
      <c r="F11" s="9">
        <f t="shared" si="2"/>
        <v>46731.18</v>
      </c>
    </row>
    <row r="12">
      <c r="A12" s="7">
        <v>45924.0</v>
      </c>
      <c r="B12" s="9">
        <v>0.0</v>
      </c>
      <c r="C12" s="9">
        <v>0.0</v>
      </c>
      <c r="D12" s="9">
        <v>1484.38</v>
      </c>
      <c r="E12" s="9">
        <f t="shared" si="1"/>
        <v>0</v>
      </c>
      <c r="F12" s="9">
        <f t="shared" si="2"/>
        <v>0</v>
      </c>
    </row>
    <row r="13">
      <c r="A13" s="7">
        <v>45925.0</v>
      </c>
      <c r="B13" s="9">
        <v>33.7</v>
      </c>
      <c r="C13" s="9">
        <v>8.5</v>
      </c>
      <c r="D13" s="9">
        <v>1512.32</v>
      </c>
      <c r="E13" s="9">
        <f t="shared" si="1"/>
        <v>42.2</v>
      </c>
      <c r="F13" s="9">
        <f t="shared" si="2"/>
        <v>63819.904</v>
      </c>
    </row>
    <row r="14">
      <c r="A14" s="7">
        <v>45926.0</v>
      </c>
      <c r="B14" s="9">
        <v>13.7</v>
      </c>
      <c r="C14" s="9">
        <v>0.0</v>
      </c>
      <c r="D14" s="9">
        <v>1562.67</v>
      </c>
      <c r="E14" s="9">
        <f t="shared" si="1"/>
        <v>13.7</v>
      </c>
      <c r="F14" s="9">
        <f t="shared" si="2"/>
        <v>21408.579</v>
      </c>
    </row>
    <row r="15">
      <c r="A15" s="7">
        <v>45929.0</v>
      </c>
      <c r="B15" s="9">
        <v>14.1</v>
      </c>
      <c r="C15" s="9">
        <v>0.0</v>
      </c>
      <c r="D15" s="9">
        <v>1602.6</v>
      </c>
      <c r="E15" s="9">
        <f t="shared" si="1"/>
        <v>14.1</v>
      </c>
      <c r="F15" s="9">
        <f t="shared" si="2"/>
        <v>22596.66</v>
      </c>
    </row>
    <row r="16">
      <c r="A16" s="7">
        <v>45930.0</v>
      </c>
      <c r="B16" s="9">
        <v>21.7</v>
      </c>
      <c r="C16" s="9">
        <v>8.4</v>
      </c>
      <c r="D16" s="9">
        <v>1594.7</v>
      </c>
      <c r="E16" s="9">
        <f t="shared" si="1"/>
        <v>30.1</v>
      </c>
      <c r="F16" s="9">
        <f t="shared" si="2"/>
        <v>48000.47</v>
      </c>
    </row>
    <row r="17">
      <c r="A17" s="7">
        <v>45931.0</v>
      </c>
      <c r="B17" s="9">
        <v>0.0</v>
      </c>
      <c r="C17" s="9">
        <v>0.0</v>
      </c>
      <c r="D17" s="9">
        <v>1580.06</v>
      </c>
      <c r="E17" s="9">
        <f t="shared" si="1"/>
        <v>0</v>
      </c>
      <c r="F17" s="9">
        <f t="shared" si="2"/>
        <v>0</v>
      </c>
      <c r="G17" s="9" t="s">
        <v>224</v>
      </c>
    </row>
    <row r="18">
      <c r="A18" s="7">
        <v>45932.0</v>
      </c>
      <c r="B18" s="9">
        <v>0.0</v>
      </c>
      <c r="C18" s="9">
        <v>0.0</v>
      </c>
      <c r="D18" s="9">
        <v>1569.77</v>
      </c>
      <c r="E18" s="9">
        <f t="shared" si="1"/>
        <v>0</v>
      </c>
      <c r="F18" s="9">
        <f t="shared" si="2"/>
        <v>0</v>
      </c>
    </row>
    <row r="19">
      <c r="A19" s="7">
        <v>45933.0</v>
      </c>
      <c r="B19" s="9">
        <v>0.0</v>
      </c>
      <c r="C19" s="9">
        <v>0.0</v>
      </c>
      <c r="D19" s="9">
        <v>1593.55</v>
      </c>
      <c r="E19" s="9">
        <f t="shared" si="1"/>
        <v>0</v>
      </c>
      <c r="F19" s="9">
        <f t="shared" si="2"/>
        <v>0</v>
      </c>
    </row>
    <row r="20">
      <c r="A20" s="7">
        <v>45936.0</v>
      </c>
      <c r="B20" s="9">
        <v>0.0</v>
      </c>
      <c r="C20" s="9">
        <v>0.0</v>
      </c>
      <c r="D20" s="9">
        <v>1627.71</v>
      </c>
      <c r="E20" s="9">
        <f t="shared" si="1"/>
        <v>0</v>
      </c>
      <c r="F20" s="49">
        <f t="shared" si="2"/>
        <v>0</v>
      </c>
    </row>
    <row r="21">
      <c r="A21" s="7">
        <v>45937.0</v>
      </c>
      <c r="B21" s="9">
        <v>0.0</v>
      </c>
      <c r="C21" s="9">
        <v>5.5</v>
      </c>
      <c r="D21" s="9">
        <v>1629.86</v>
      </c>
      <c r="E21" s="9">
        <f t="shared" si="1"/>
        <v>5.5</v>
      </c>
      <c r="F21" s="49">
        <f t="shared" si="2"/>
        <v>8964.23</v>
      </c>
    </row>
    <row r="22">
      <c r="A22" s="7">
        <v>45938.0</v>
      </c>
      <c r="B22" s="9">
        <v>29.6</v>
      </c>
      <c r="C22" s="9">
        <v>7.8</v>
      </c>
      <c r="D22" s="9">
        <v>1651.31</v>
      </c>
      <c r="E22" s="9">
        <f t="shared" si="1"/>
        <v>37.4</v>
      </c>
      <c r="F22" s="49">
        <f t="shared" si="2"/>
        <v>61758.994</v>
      </c>
    </row>
    <row r="23">
      <c r="A23" s="7">
        <v>45939.0</v>
      </c>
      <c r="B23" s="9">
        <v>0.0</v>
      </c>
      <c r="C23" s="9">
        <v>0.0</v>
      </c>
      <c r="D23" s="9">
        <v>1657.55</v>
      </c>
      <c r="E23" s="9">
        <f t="shared" si="1"/>
        <v>0</v>
      </c>
      <c r="F23" s="49">
        <f t="shared" si="2"/>
        <v>0</v>
      </c>
    </row>
    <row r="24">
      <c r="A24" s="7">
        <v>45940.0</v>
      </c>
      <c r="B24" s="9">
        <v>0.0</v>
      </c>
      <c r="C24" s="9">
        <v>0.0</v>
      </c>
      <c r="D24" s="9">
        <v>1622.85</v>
      </c>
      <c r="E24" s="9">
        <f t="shared" si="1"/>
        <v>0</v>
      </c>
      <c r="F24" s="49">
        <f t="shared" si="2"/>
        <v>0</v>
      </c>
    </row>
    <row r="25">
      <c r="A25" s="7">
        <v>45943.0</v>
      </c>
      <c r="B25" s="9">
        <v>-14.9</v>
      </c>
      <c r="C25" s="9">
        <v>0.0</v>
      </c>
      <c r="D25" s="9">
        <v>1640.15</v>
      </c>
      <c r="E25" s="9">
        <f t="shared" si="1"/>
        <v>-14.9</v>
      </c>
      <c r="F25" s="49">
        <f t="shared" si="2"/>
        <v>-24438.235</v>
      </c>
      <c r="H25" s="132"/>
      <c r="I25" s="78"/>
      <c r="J25" s="78"/>
      <c r="L25" s="132"/>
      <c r="M25" s="78"/>
      <c r="N25" s="78"/>
    </row>
    <row r="26">
      <c r="A26" s="7">
        <v>45944.0</v>
      </c>
      <c r="B26" s="9">
        <v>0.0</v>
      </c>
      <c r="C26" s="9">
        <v>0.0</v>
      </c>
      <c r="D26" s="9">
        <v>1650.91</v>
      </c>
      <c r="E26" s="9">
        <f t="shared" si="1"/>
        <v>0</v>
      </c>
      <c r="F26" s="49">
        <f t="shared" si="2"/>
        <v>0</v>
      </c>
      <c r="H26" s="133"/>
      <c r="I26" s="45"/>
      <c r="J26" s="45"/>
      <c r="L26" s="78"/>
      <c r="M26" s="115"/>
      <c r="N26" s="80"/>
    </row>
    <row r="27">
      <c r="A27" s="7">
        <v>45945.0</v>
      </c>
      <c r="B27" s="9">
        <v>0.0</v>
      </c>
      <c r="C27" s="9">
        <v>0.0</v>
      </c>
      <c r="D27" s="9">
        <v>1663.78</v>
      </c>
      <c r="E27" s="9">
        <f t="shared" si="1"/>
        <v>0</v>
      </c>
      <c r="F27" s="49">
        <f t="shared" si="2"/>
        <v>0</v>
      </c>
      <c r="H27" s="134"/>
      <c r="I27" s="18"/>
      <c r="J27" s="18"/>
      <c r="L27" s="145"/>
      <c r="M27" s="81"/>
      <c r="N27" s="81"/>
    </row>
    <row r="28">
      <c r="A28" s="7">
        <v>45946.0</v>
      </c>
      <c r="B28" s="9">
        <v>0.0</v>
      </c>
      <c r="C28" s="9">
        <v>0.0</v>
      </c>
      <c r="D28" s="9">
        <v>1707.7</v>
      </c>
      <c r="E28" s="9">
        <f t="shared" si="1"/>
        <v>0</v>
      </c>
      <c r="F28" s="49">
        <f t="shared" si="2"/>
        <v>0</v>
      </c>
      <c r="H28" s="133"/>
      <c r="I28" s="45"/>
      <c r="J28" s="45"/>
      <c r="L28" s="78"/>
      <c r="M28" s="115"/>
      <c r="N28" s="150"/>
    </row>
    <row r="29">
      <c r="A29" s="7">
        <v>45947.0</v>
      </c>
      <c r="B29" s="9">
        <v>0.0</v>
      </c>
      <c r="C29" s="9">
        <v>0.0</v>
      </c>
      <c r="D29" s="9">
        <v>1647.92</v>
      </c>
      <c r="E29" s="9">
        <f t="shared" si="1"/>
        <v>0</v>
      </c>
      <c r="F29" s="49">
        <f t="shared" si="2"/>
        <v>0</v>
      </c>
      <c r="H29" s="134"/>
      <c r="I29" s="18"/>
      <c r="J29" s="18"/>
      <c r="L29" s="145"/>
      <c r="M29" s="81"/>
      <c r="N29" s="81"/>
    </row>
    <row r="30">
      <c r="A30" s="7">
        <v>45950.0</v>
      </c>
      <c r="B30" s="9">
        <v>0.0</v>
      </c>
      <c r="C30" s="9">
        <v>0.0</v>
      </c>
      <c r="D30" s="9">
        <v>1612.61</v>
      </c>
      <c r="E30" s="9">
        <f t="shared" si="1"/>
        <v>0</v>
      </c>
      <c r="F30" s="49">
        <f t="shared" si="2"/>
        <v>0</v>
      </c>
      <c r="H30" s="133"/>
      <c r="I30" s="45"/>
      <c r="J30" s="86"/>
      <c r="L30" s="78"/>
      <c r="M30" s="115"/>
      <c r="N30" s="80"/>
    </row>
    <row r="31">
      <c r="A31" s="7">
        <v>45951.0</v>
      </c>
      <c r="B31" s="9">
        <v>0.0</v>
      </c>
      <c r="C31" s="9">
        <v>0.0</v>
      </c>
      <c r="D31" s="9">
        <v>1550.97</v>
      </c>
      <c r="E31" s="9">
        <f t="shared" si="1"/>
        <v>0</v>
      </c>
      <c r="F31" s="49">
        <f t="shared" si="2"/>
        <v>0</v>
      </c>
      <c r="H31" s="134"/>
      <c r="I31" s="18"/>
      <c r="J31" s="86"/>
    </row>
    <row r="32">
      <c r="A32" s="7">
        <v>45952.0</v>
      </c>
      <c r="B32" s="9">
        <v>-42.6</v>
      </c>
      <c r="C32" s="9">
        <v>0.0</v>
      </c>
      <c r="D32" s="9">
        <v>1527.31</v>
      </c>
      <c r="E32" s="9">
        <f t="shared" si="1"/>
        <v>-42.6</v>
      </c>
      <c r="F32" s="49">
        <f t="shared" si="2"/>
        <v>-65063.406</v>
      </c>
      <c r="H32" s="134"/>
      <c r="I32" s="18"/>
      <c r="J32" s="86"/>
    </row>
    <row r="33">
      <c r="A33" s="7">
        <v>45953.0</v>
      </c>
      <c r="B33" s="9">
        <v>-21.1</v>
      </c>
      <c r="C33" s="9">
        <v>0.0</v>
      </c>
      <c r="D33" s="9">
        <v>1575.07</v>
      </c>
      <c r="E33" s="9">
        <f t="shared" si="1"/>
        <v>-21.1</v>
      </c>
      <c r="F33" s="49">
        <f t="shared" si="2"/>
        <v>-33233.977</v>
      </c>
      <c r="H33" s="134"/>
      <c r="I33" s="18"/>
      <c r="J33" s="86"/>
    </row>
    <row r="34">
      <c r="A34" s="7">
        <v>45954.0</v>
      </c>
      <c r="B34" s="9">
        <v>0.0</v>
      </c>
      <c r="C34" s="9">
        <v>-1.6</v>
      </c>
      <c r="D34" s="9">
        <v>1567.54</v>
      </c>
      <c r="E34" s="9">
        <f t="shared" si="1"/>
        <v>-1.6</v>
      </c>
      <c r="F34" s="49">
        <f t="shared" si="2"/>
        <v>-2508.064</v>
      </c>
      <c r="H34" s="134"/>
      <c r="I34" s="18"/>
      <c r="J34" s="86"/>
    </row>
    <row r="35">
      <c r="A35" s="7">
        <v>45957.0</v>
      </c>
      <c r="B35" s="9">
        <v>36.5</v>
      </c>
      <c r="C35" s="9">
        <v>0.0</v>
      </c>
      <c r="D35" s="9">
        <v>1565.49</v>
      </c>
      <c r="E35" s="9">
        <f t="shared" si="1"/>
        <v>36.5</v>
      </c>
      <c r="F35" s="49">
        <f t="shared" si="2"/>
        <v>57140.385</v>
      </c>
      <c r="H35" s="134"/>
      <c r="I35" s="18"/>
      <c r="J35" s="86"/>
    </row>
    <row r="36">
      <c r="A36" s="7">
        <v>45958.0</v>
      </c>
      <c r="B36" s="9">
        <v>0.0</v>
      </c>
      <c r="C36" s="9">
        <v>0.0</v>
      </c>
      <c r="D36" s="9">
        <v>1541.98</v>
      </c>
      <c r="E36" s="9">
        <f t="shared" si="1"/>
        <v>0</v>
      </c>
      <c r="F36" s="49">
        <f t="shared" si="2"/>
        <v>0</v>
      </c>
      <c r="H36" s="134"/>
      <c r="I36" s="18"/>
      <c r="J36" s="86"/>
    </row>
    <row r="37">
      <c r="A37" s="7">
        <v>45959.0</v>
      </c>
      <c r="B37" s="9">
        <v>0.0</v>
      </c>
      <c r="C37" s="9">
        <v>0.0</v>
      </c>
      <c r="D37" s="9">
        <v>1571.97</v>
      </c>
      <c r="E37" s="9">
        <f t="shared" si="1"/>
        <v>0</v>
      </c>
      <c r="F37" s="49">
        <f t="shared" si="2"/>
        <v>0</v>
      </c>
      <c r="H37" s="134"/>
      <c r="I37" s="18"/>
      <c r="J37" s="86"/>
    </row>
    <row r="38">
      <c r="A38" s="7">
        <v>45960.0</v>
      </c>
      <c r="B38" s="9">
        <v>0.0</v>
      </c>
      <c r="C38" s="9">
        <v>0.0</v>
      </c>
      <c r="D38" s="9">
        <v>1580.31</v>
      </c>
      <c r="E38" s="9">
        <f t="shared" si="1"/>
        <v>0</v>
      </c>
      <c r="F38" s="49">
        <f t="shared" si="2"/>
        <v>0</v>
      </c>
      <c r="H38" s="134"/>
      <c r="I38" s="18"/>
      <c r="J38" s="86"/>
    </row>
    <row r="39">
      <c r="A39" s="7">
        <v>45961.0</v>
      </c>
      <c r="B39" s="9">
        <v>0.0</v>
      </c>
      <c r="C39" s="9">
        <v>0.0</v>
      </c>
      <c r="D39" s="9">
        <v>1572.75</v>
      </c>
      <c r="E39" s="9">
        <f t="shared" si="1"/>
        <v>0</v>
      </c>
      <c r="F39" s="49">
        <f t="shared" si="2"/>
        <v>0</v>
      </c>
      <c r="H39" s="136"/>
      <c r="I39" s="91"/>
      <c r="J39" s="90"/>
    </row>
    <row r="40">
      <c r="A40" s="7">
        <v>45964.0</v>
      </c>
      <c r="B40" s="9">
        <v>11.03</v>
      </c>
      <c r="C40" s="9">
        <v>0.0</v>
      </c>
      <c r="D40" s="9">
        <v>1568.45</v>
      </c>
      <c r="E40" s="9">
        <f t="shared" si="1"/>
        <v>11.03</v>
      </c>
      <c r="F40" s="49">
        <f t="shared" si="2"/>
        <v>17300.0035</v>
      </c>
      <c r="H40" s="91"/>
      <c r="I40" s="121"/>
      <c r="J40" s="93"/>
    </row>
    <row r="41">
      <c r="A41" s="7">
        <v>45965.0</v>
      </c>
      <c r="B41" s="9">
        <v>-14.4</v>
      </c>
      <c r="C41" s="9">
        <v>0.0</v>
      </c>
      <c r="D41" s="9">
        <v>1534.41</v>
      </c>
      <c r="E41" s="9">
        <f t="shared" si="1"/>
        <v>-14.4</v>
      </c>
      <c r="F41" s="49">
        <f t="shared" si="2"/>
        <v>-22095.504</v>
      </c>
      <c r="H41" s="94"/>
      <c r="I41" s="94"/>
      <c r="J41" s="96"/>
    </row>
    <row r="42">
      <c r="A42" s="7">
        <v>45966.0</v>
      </c>
      <c r="B42" s="9">
        <v>-14.1</v>
      </c>
      <c r="C42" s="9">
        <v>0.0</v>
      </c>
      <c r="D42" s="9">
        <v>1535.5</v>
      </c>
      <c r="E42" s="9">
        <f t="shared" si="1"/>
        <v>-14.1</v>
      </c>
      <c r="F42" s="49">
        <f t="shared" si="2"/>
        <v>-21650.55</v>
      </c>
      <c r="H42" s="91"/>
      <c r="I42" s="121"/>
      <c r="J42" s="93"/>
    </row>
    <row r="43">
      <c r="A43" s="7">
        <v>45967.0</v>
      </c>
      <c r="B43" s="9">
        <v>0.0</v>
      </c>
      <c r="C43" s="9">
        <v>0.0</v>
      </c>
      <c r="D43" s="9">
        <v>1529.59</v>
      </c>
      <c r="E43" s="9">
        <f t="shared" si="1"/>
        <v>0</v>
      </c>
      <c r="F43" s="49">
        <f t="shared" si="2"/>
        <v>0</v>
      </c>
      <c r="H43" s="94"/>
      <c r="I43" s="94"/>
      <c r="J43" s="96"/>
    </row>
    <row r="44">
      <c r="A44" s="7">
        <v>45968.0</v>
      </c>
      <c r="B44" s="9">
        <v>-14.2</v>
      </c>
      <c r="C44" s="9">
        <v>0.0</v>
      </c>
      <c r="D44" s="9">
        <v>1533.54</v>
      </c>
      <c r="E44" s="9">
        <f t="shared" si="1"/>
        <v>-14.2</v>
      </c>
      <c r="F44" s="49">
        <f t="shared" si="2"/>
        <v>-21776.268</v>
      </c>
      <c r="H44" s="136"/>
      <c r="I44" s="91"/>
      <c r="J44" s="90"/>
      <c r="L44" s="137" t="s">
        <v>246</v>
      </c>
      <c r="M44" s="33" t="s">
        <v>65</v>
      </c>
      <c r="N44" s="33" t="s">
        <v>66</v>
      </c>
    </row>
    <row r="45">
      <c r="A45" s="7">
        <v>45971.0</v>
      </c>
      <c r="B45" s="9">
        <v>0.0</v>
      </c>
      <c r="C45" s="9">
        <v>0.0</v>
      </c>
      <c r="D45" s="9">
        <v>1569.7</v>
      </c>
      <c r="E45" s="9">
        <f t="shared" si="1"/>
        <v>0</v>
      </c>
      <c r="F45" s="49">
        <f t="shared" si="2"/>
        <v>0</v>
      </c>
      <c r="H45" s="137" t="s">
        <v>247</v>
      </c>
      <c r="I45" s="33" t="s">
        <v>65</v>
      </c>
      <c r="J45" s="98" t="s">
        <v>66</v>
      </c>
      <c r="L45" s="33" t="s">
        <v>145</v>
      </c>
      <c r="M45" s="147">
        <v>0.0</v>
      </c>
      <c r="N45" s="103" t="s">
        <v>178</v>
      </c>
    </row>
    <row r="46">
      <c r="A46" s="7">
        <v>45972.0</v>
      </c>
      <c r="B46" s="9">
        <v>0.0</v>
      </c>
      <c r="C46" s="9">
        <v>0.0</v>
      </c>
      <c r="D46" s="9">
        <v>1585.1</v>
      </c>
      <c r="E46" s="9">
        <f t="shared" si="1"/>
        <v>0</v>
      </c>
      <c r="F46" s="49">
        <f t="shared" si="2"/>
        <v>0</v>
      </c>
      <c r="H46" s="33" t="s">
        <v>145</v>
      </c>
      <c r="I46" s="128">
        <f>E50</f>
        <v>0</v>
      </c>
      <c r="J46" s="100">
        <f>D50</f>
        <v>1536.06</v>
      </c>
      <c r="L46" s="36"/>
      <c r="M46" s="182"/>
      <c r="N46" s="36"/>
    </row>
    <row r="47">
      <c r="A47" s="7">
        <v>45973.0</v>
      </c>
      <c r="B47" s="9">
        <v>0.0</v>
      </c>
      <c r="C47" s="9">
        <v>0.0</v>
      </c>
      <c r="D47" s="9">
        <v>1604.8</v>
      </c>
      <c r="E47" s="9">
        <f t="shared" si="1"/>
        <v>0</v>
      </c>
      <c r="F47" s="49">
        <f t="shared" si="2"/>
        <v>0</v>
      </c>
      <c r="H47" s="36"/>
      <c r="I47" s="36"/>
      <c r="J47" s="54"/>
      <c r="L47" s="33" t="s">
        <v>68</v>
      </c>
      <c r="M47" s="131">
        <v>14.4</v>
      </c>
      <c r="N47" s="103">
        <v>1599.93</v>
      </c>
    </row>
    <row r="48">
      <c r="A48" s="7">
        <v>45974.0</v>
      </c>
      <c r="B48" s="9">
        <v>14.4</v>
      </c>
      <c r="C48" s="9">
        <v>0.0</v>
      </c>
      <c r="D48" s="9">
        <v>1599.93</v>
      </c>
      <c r="E48" s="9">
        <f t="shared" si="1"/>
        <v>14.4</v>
      </c>
      <c r="F48" s="49">
        <f t="shared" si="2"/>
        <v>23038.992</v>
      </c>
      <c r="H48" s="33" t="s">
        <v>68</v>
      </c>
      <c r="I48" s="139">
        <f>SUM(E46:E50)</f>
        <v>14.4</v>
      </c>
      <c r="J48" s="100">
        <f>SUM(F46:F50)/I48</f>
        <v>1599.93</v>
      </c>
      <c r="L48" s="36"/>
      <c r="M48" s="36"/>
      <c r="N48" s="36"/>
    </row>
    <row r="49">
      <c r="A49" s="7">
        <v>45975.0</v>
      </c>
      <c r="B49" s="9">
        <v>0.0</v>
      </c>
      <c r="C49" s="9">
        <v>0.0</v>
      </c>
      <c r="D49" s="9">
        <v>1554.3</v>
      </c>
      <c r="E49" s="9">
        <f t="shared" si="1"/>
        <v>0</v>
      </c>
      <c r="F49" s="49">
        <f t="shared" si="2"/>
        <v>0</v>
      </c>
      <c r="H49" s="36"/>
      <c r="I49" s="36"/>
      <c r="J49" s="54"/>
      <c r="L49" s="33" t="s">
        <v>69</v>
      </c>
      <c r="M49" s="126">
        <v>-46.07</v>
      </c>
      <c r="N49" s="103">
        <v>1494.43</v>
      </c>
    </row>
    <row r="50">
      <c r="A50" s="7">
        <v>45978.0</v>
      </c>
      <c r="B50" s="9">
        <v>0.0</v>
      </c>
      <c r="C50" s="9">
        <v>0.0</v>
      </c>
      <c r="D50" s="9">
        <v>1536.06</v>
      </c>
      <c r="E50" s="9">
        <f t="shared" si="1"/>
        <v>0</v>
      </c>
      <c r="F50" s="49">
        <f t="shared" si="2"/>
        <v>0</v>
      </c>
      <c r="H50" s="33" t="s">
        <v>69</v>
      </c>
      <c r="I50" s="128">
        <f>SUM(E31:E50)</f>
        <v>-46.07</v>
      </c>
      <c r="J50" s="100">
        <f>SUM(F31:F50)/I50</f>
        <v>1494.429965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9" t="s">
        <v>0</v>
      </c>
      <c r="B1" s="110" t="s">
        <v>248</v>
      </c>
      <c r="C1" s="110" t="s">
        <v>249</v>
      </c>
      <c r="D1" s="110" t="s">
        <v>151</v>
      </c>
      <c r="E1" s="110" t="s">
        <v>3</v>
      </c>
    </row>
    <row r="2">
      <c r="A2" s="7">
        <v>45910.0</v>
      </c>
      <c r="B2" s="9">
        <v>4.2</v>
      </c>
      <c r="C2" s="9">
        <v>0.0</v>
      </c>
      <c r="D2" s="9">
        <f t="shared" ref="D2:D50" si="1">SUM(B2)</f>
        <v>4.2</v>
      </c>
      <c r="E2" s="9">
        <f t="shared" ref="E2:E50" si="2">D2*C2</f>
        <v>0</v>
      </c>
    </row>
    <row r="3">
      <c r="A3" s="7">
        <v>45911.0</v>
      </c>
      <c r="B3" s="9"/>
      <c r="C3" s="9">
        <v>0.0</v>
      </c>
      <c r="D3" s="9">
        <f t="shared" si="1"/>
        <v>0</v>
      </c>
      <c r="E3" s="9">
        <f t="shared" si="2"/>
        <v>0</v>
      </c>
    </row>
    <row r="4">
      <c r="A4" s="7">
        <v>45912.0</v>
      </c>
      <c r="B4" s="9">
        <v>-1.4</v>
      </c>
      <c r="C4" s="9">
        <v>0.0</v>
      </c>
      <c r="D4" s="9">
        <f t="shared" si="1"/>
        <v>-1.4</v>
      </c>
      <c r="E4" s="9">
        <f t="shared" si="2"/>
        <v>0</v>
      </c>
    </row>
    <row r="5">
      <c r="A5" s="7">
        <v>45915.0</v>
      </c>
      <c r="B5" s="9">
        <v>2.9</v>
      </c>
      <c r="C5" s="9">
        <v>4.605</v>
      </c>
      <c r="D5" s="9">
        <f t="shared" si="1"/>
        <v>2.9</v>
      </c>
      <c r="E5" s="9">
        <f t="shared" si="2"/>
        <v>13.3545</v>
      </c>
    </row>
    <row r="6">
      <c r="A6" s="7">
        <v>45916.0</v>
      </c>
      <c r="B6" s="9">
        <v>0.0</v>
      </c>
      <c r="C6" s="9">
        <v>4.627</v>
      </c>
      <c r="D6" s="9">
        <f t="shared" si="1"/>
        <v>0</v>
      </c>
      <c r="E6" s="9">
        <f t="shared" si="2"/>
        <v>0</v>
      </c>
    </row>
    <row r="7">
      <c r="A7" s="7">
        <v>45917.0</v>
      </c>
      <c r="B7" s="9">
        <v>0.0</v>
      </c>
      <c r="C7" s="9">
        <v>4.575</v>
      </c>
      <c r="D7" s="9">
        <f t="shared" si="1"/>
        <v>0</v>
      </c>
      <c r="E7" s="9">
        <f t="shared" si="2"/>
        <v>0</v>
      </c>
    </row>
    <row r="8">
      <c r="A8" s="7">
        <v>45918.0</v>
      </c>
      <c r="B8" s="9">
        <v>0.0</v>
      </c>
      <c r="C8" s="9">
        <v>4.531</v>
      </c>
      <c r="D8" s="9">
        <f t="shared" si="1"/>
        <v>0</v>
      </c>
      <c r="E8" s="9">
        <f t="shared" si="2"/>
        <v>0</v>
      </c>
    </row>
    <row r="9">
      <c r="A9" s="7">
        <v>45919.0</v>
      </c>
      <c r="B9" s="9">
        <v>0.0</v>
      </c>
      <c r="C9" s="9">
        <v>4.542</v>
      </c>
      <c r="D9" s="9">
        <f t="shared" si="1"/>
        <v>0</v>
      </c>
      <c r="E9" s="9">
        <f t="shared" si="2"/>
        <v>0</v>
      </c>
    </row>
    <row r="10">
      <c r="A10" s="7">
        <v>45922.0</v>
      </c>
      <c r="B10" s="9">
        <v>0.0</v>
      </c>
      <c r="C10" s="9">
        <v>4.562</v>
      </c>
      <c r="D10" s="9">
        <f t="shared" si="1"/>
        <v>0</v>
      </c>
      <c r="E10" s="9">
        <f t="shared" si="2"/>
        <v>0</v>
      </c>
    </row>
    <row r="11">
      <c r="A11" s="7">
        <v>45923.0</v>
      </c>
      <c r="B11" s="9">
        <v>0.0</v>
      </c>
      <c r="C11" s="9">
        <v>4.569</v>
      </c>
      <c r="D11" s="9">
        <f t="shared" si="1"/>
        <v>0</v>
      </c>
      <c r="E11" s="9">
        <f t="shared" si="2"/>
        <v>0</v>
      </c>
    </row>
    <row r="12">
      <c r="A12" s="7">
        <v>45924.0</v>
      </c>
      <c r="B12" s="9">
        <v>0.0</v>
      </c>
      <c r="C12" s="9">
        <v>4.655</v>
      </c>
      <c r="D12" s="9">
        <f t="shared" si="1"/>
        <v>0</v>
      </c>
      <c r="E12" s="9">
        <f t="shared" si="2"/>
        <v>0</v>
      </c>
    </row>
    <row r="13">
      <c r="A13" s="7">
        <v>45925.0</v>
      </c>
      <c r="B13" s="9">
        <v>0.0</v>
      </c>
      <c r="C13" s="9">
        <v>4.752</v>
      </c>
      <c r="D13" s="9">
        <f t="shared" si="1"/>
        <v>0</v>
      </c>
      <c r="E13" s="9">
        <f t="shared" si="2"/>
        <v>0</v>
      </c>
    </row>
    <row r="14">
      <c r="A14" s="7">
        <v>45926.0</v>
      </c>
      <c r="B14" s="9">
        <v>0.0</v>
      </c>
      <c r="C14" s="9">
        <v>4.695</v>
      </c>
      <c r="D14" s="9">
        <f t="shared" si="1"/>
        <v>0</v>
      </c>
      <c r="E14" s="9">
        <f t="shared" si="2"/>
        <v>0</v>
      </c>
    </row>
    <row r="15">
      <c r="A15" s="7">
        <v>45929.0</v>
      </c>
      <c r="B15" s="9">
        <v>23.5</v>
      </c>
      <c r="C15" s="9">
        <v>4.763</v>
      </c>
      <c r="D15" s="9">
        <f t="shared" si="1"/>
        <v>23.5</v>
      </c>
      <c r="E15" s="9">
        <f t="shared" si="2"/>
        <v>111.9305</v>
      </c>
    </row>
    <row r="16">
      <c r="A16" s="7">
        <v>45930.0</v>
      </c>
      <c r="B16" s="9">
        <v>0.0</v>
      </c>
      <c r="C16" s="9">
        <v>4.81</v>
      </c>
      <c r="D16" s="9">
        <f t="shared" si="1"/>
        <v>0</v>
      </c>
      <c r="E16" s="9">
        <f t="shared" si="2"/>
        <v>0</v>
      </c>
    </row>
    <row r="17">
      <c r="A17" s="7">
        <v>45931.0</v>
      </c>
      <c r="B17" s="9">
        <v>16.5</v>
      </c>
      <c r="C17" s="9">
        <v>4.804</v>
      </c>
      <c r="D17" s="9">
        <f t="shared" si="1"/>
        <v>16.5</v>
      </c>
      <c r="E17" s="9">
        <f t="shared" si="2"/>
        <v>79.266</v>
      </c>
      <c r="F17" s="9" t="s">
        <v>224</v>
      </c>
    </row>
    <row r="18">
      <c r="A18" s="7">
        <v>45932.0</v>
      </c>
      <c r="B18" s="9">
        <v>0.0</v>
      </c>
      <c r="C18" s="9">
        <v>4.854</v>
      </c>
      <c r="D18" s="9">
        <f t="shared" si="1"/>
        <v>0</v>
      </c>
      <c r="E18" s="9">
        <f t="shared" si="2"/>
        <v>0</v>
      </c>
    </row>
    <row r="19">
      <c r="A19" s="7">
        <v>45933.0</v>
      </c>
      <c r="B19" s="9">
        <v>0.0</v>
      </c>
      <c r="C19" s="9">
        <v>4.954</v>
      </c>
      <c r="D19" s="9">
        <f t="shared" si="1"/>
        <v>0</v>
      </c>
      <c r="E19" s="9">
        <f t="shared" si="2"/>
        <v>0</v>
      </c>
    </row>
    <row r="20">
      <c r="A20" s="7">
        <v>45936.0</v>
      </c>
      <c r="B20" s="9">
        <v>0.0</v>
      </c>
      <c r="C20" s="9">
        <v>4.998</v>
      </c>
      <c r="D20" s="49">
        <f t="shared" si="1"/>
        <v>0</v>
      </c>
      <c r="E20" s="49">
        <f t="shared" si="2"/>
        <v>0</v>
      </c>
    </row>
    <row r="21">
      <c r="A21" s="7">
        <v>45937.0</v>
      </c>
      <c r="B21" s="9">
        <v>7.8</v>
      </c>
      <c r="C21" s="9">
        <v>5.011</v>
      </c>
      <c r="D21" s="49">
        <f t="shared" si="1"/>
        <v>7.8</v>
      </c>
      <c r="E21" s="49">
        <f t="shared" si="2"/>
        <v>39.0858</v>
      </c>
    </row>
    <row r="22">
      <c r="A22" s="7">
        <v>45938.0</v>
      </c>
      <c r="B22" s="9">
        <v>3.1</v>
      </c>
      <c r="C22" s="9">
        <v>5.032</v>
      </c>
      <c r="D22" s="49">
        <f t="shared" si="1"/>
        <v>3.1</v>
      </c>
      <c r="E22" s="49">
        <f t="shared" si="2"/>
        <v>15.5992</v>
      </c>
    </row>
    <row r="23">
      <c r="A23" s="7">
        <v>45939.0</v>
      </c>
      <c r="B23" s="9">
        <v>0.0</v>
      </c>
      <c r="C23" s="9">
        <v>5.061</v>
      </c>
      <c r="D23" s="49">
        <f t="shared" si="1"/>
        <v>0</v>
      </c>
      <c r="E23" s="49">
        <f t="shared" si="2"/>
        <v>0</v>
      </c>
    </row>
    <row r="24">
      <c r="A24" s="7">
        <v>45940.0</v>
      </c>
      <c r="B24" s="9">
        <v>0.0</v>
      </c>
      <c r="C24" s="9">
        <v>4.932</v>
      </c>
      <c r="D24" s="49">
        <f t="shared" si="1"/>
        <v>0</v>
      </c>
      <c r="E24" s="49">
        <f t="shared" si="2"/>
        <v>0</v>
      </c>
    </row>
    <row r="25">
      <c r="A25" s="7">
        <v>45943.0</v>
      </c>
      <c r="B25" s="9">
        <v>22.7</v>
      </c>
      <c r="C25" s="9">
        <v>5.0</v>
      </c>
      <c r="D25" s="49">
        <f t="shared" si="1"/>
        <v>22.7</v>
      </c>
      <c r="E25" s="49">
        <f t="shared" si="2"/>
        <v>113.5</v>
      </c>
      <c r="G25" s="132"/>
      <c r="H25" s="78"/>
      <c r="I25" s="78"/>
      <c r="K25" s="132"/>
      <c r="L25" s="78"/>
      <c r="M25" s="78"/>
    </row>
    <row r="26">
      <c r="A26" s="7">
        <v>45944.0</v>
      </c>
      <c r="B26" s="9">
        <v>-7.9</v>
      </c>
      <c r="C26" s="9">
        <v>4.975</v>
      </c>
      <c r="D26" s="49">
        <f t="shared" si="1"/>
        <v>-7.9</v>
      </c>
      <c r="E26" s="49">
        <f t="shared" si="2"/>
        <v>-39.3025</v>
      </c>
      <c r="G26" s="133"/>
      <c r="H26" s="45"/>
      <c r="I26" s="45"/>
      <c r="K26" s="78"/>
      <c r="L26" s="115"/>
      <c r="M26" s="150"/>
    </row>
    <row r="27">
      <c r="A27" s="7">
        <v>45945.0</v>
      </c>
      <c r="B27" s="9">
        <v>-4.7</v>
      </c>
      <c r="C27" s="9">
        <v>4.94</v>
      </c>
      <c r="D27" s="49">
        <f t="shared" si="1"/>
        <v>-4.7</v>
      </c>
      <c r="E27" s="49">
        <f t="shared" si="2"/>
        <v>-23.218</v>
      </c>
      <c r="G27" s="134"/>
      <c r="H27" s="18"/>
      <c r="I27" s="18"/>
      <c r="K27" s="145"/>
      <c r="L27" s="81"/>
      <c r="M27" s="81"/>
    </row>
    <row r="28">
      <c r="A28" s="7">
        <v>45946.0</v>
      </c>
      <c r="B28" s="9">
        <v>0.0</v>
      </c>
      <c r="C28" s="9">
        <v>4.919</v>
      </c>
      <c r="D28" s="49">
        <f t="shared" si="1"/>
        <v>0</v>
      </c>
      <c r="E28" s="49">
        <f t="shared" si="2"/>
        <v>0</v>
      </c>
      <c r="G28" s="133"/>
      <c r="H28" s="45"/>
      <c r="I28" s="175"/>
      <c r="K28" s="78"/>
      <c r="L28" s="115"/>
      <c r="M28" s="176"/>
    </row>
    <row r="29">
      <c r="A29" s="7">
        <v>45947.0</v>
      </c>
      <c r="B29" s="9">
        <v>0.0</v>
      </c>
      <c r="C29" s="9">
        <v>4.91</v>
      </c>
      <c r="D29" s="49">
        <f t="shared" si="1"/>
        <v>0</v>
      </c>
      <c r="E29" s="49">
        <f t="shared" si="2"/>
        <v>0</v>
      </c>
      <c r="G29" s="134"/>
      <c r="H29" s="18"/>
      <c r="I29" s="175"/>
      <c r="K29" s="145"/>
      <c r="L29" s="81"/>
      <c r="M29" s="81"/>
    </row>
    <row r="30">
      <c r="A30" s="7">
        <v>45950.0</v>
      </c>
      <c r="B30" s="9">
        <v>15.3</v>
      </c>
      <c r="C30" s="9">
        <v>4.975</v>
      </c>
      <c r="D30" s="49">
        <f t="shared" si="1"/>
        <v>15.3</v>
      </c>
      <c r="E30" s="49">
        <f t="shared" si="2"/>
        <v>76.1175</v>
      </c>
      <c r="G30" s="133"/>
      <c r="H30" s="45"/>
      <c r="I30" s="175"/>
      <c r="K30" s="78"/>
      <c r="L30" s="115"/>
      <c r="M30" s="176"/>
    </row>
    <row r="31">
      <c r="A31" s="7">
        <v>45951.0</v>
      </c>
      <c r="B31" s="9">
        <v>0.0</v>
      </c>
      <c r="C31" s="9">
        <v>4.926</v>
      </c>
      <c r="D31" s="49">
        <f t="shared" si="1"/>
        <v>0</v>
      </c>
      <c r="E31" s="49">
        <f t="shared" si="2"/>
        <v>0</v>
      </c>
      <c r="G31" s="134"/>
      <c r="H31" s="18"/>
      <c r="I31" s="175"/>
      <c r="K31" s="78"/>
      <c r="L31" s="115"/>
      <c r="M31" s="176"/>
    </row>
    <row r="32">
      <c r="A32" s="7">
        <v>45952.0</v>
      </c>
      <c r="B32" s="9">
        <v>-1.5</v>
      </c>
      <c r="C32" s="9">
        <v>4.924</v>
      </c>
      <c r="D32" s="49">
        <f t="shared" si="1"/>
        <v>-1.5</v>
      </c>
      <c r="E32" s="49">
        <f t="shared" si="2"/>
        <v>-7.386</v>
      </c>
      <c r="G32" s="134"/>
      <c r="H32" s="18"/>
      <c r="I32" s="175"/>
      <c r="K32" s="145"/>
      <c r="L32" s="81"/>
      <c r="M32" s="81"/>
    </row>
    <row r="33">
      <c r="A33" s="7">
        <v>45953.0</v>
      </c>
      <c r="B33" s="9">
        <v>0.0</v>
      </c>
      <c r="C33" s="9">
        <v>5.007</v>
      </c>
      <c r="D33" s="49">
        <f t="shared" si="1"/>
        <v>0</v>
      </c>
      <c r="E33" s="49">
        <f t="shared" si="2"/>
        <v>0</v>
      </c>
      <c r="G33" s="134"/>
      <c r="H33" s="18"/>
      <c r="I33" s="175"/>
      <c r="K33" s="132"/>
      <c r="L33" s="78"/>
      <c r="M33" s="78"/>
    </row>
    <row r="34">
      <c r="A34" s="7">
        <v>45954.0</v>
      </c>
      <c r="B34" s="9">
        <v>-3.2</v>
      </c>
      <c r="C34" s="9">
        <v>5.058</v>
      </c>
      <c r="D34" s="49">
        <f t="shared" si="1"/>
        <v>-3.2</v>
      </c>
      <c r="E34" s="49">
        <f t="shared" si="2"/>
        <v>-16.1856</v>
      </c>
      <c r="G34" s="134"/>
      <c r="H34" s="18"/>
      <c r="I34" s="175"/>
      <c r="K34" s="78"/>
      <c r="L34" s="115"/>
      <c r="M34" s="150"/>
    </row>
    <row r="35">
      <c r="A35" s="7">
        <v>45957.0</v>
      </c>
      <c r="B35" s="9">
        <v>0.0</v>
      </c>
      <c r="C35" s="9">
        <v>5.2174</v>
      </c>
      <c r="D35" s="49">
        <f t="shared" si="1"/>
        <v>0</v>
      </c>
      <c r="E35" s="49">
        <f t="shared" si="2"/>
        <v>0</v>
      </c>
      <c r="G35" s="134"/>
      <c r="H35" s="18"/>
      <c r="I35" s="175"/>
      <c r="K35" s="145"/>
      <c r="L35" s="81"/>
      <c r="M35" s="81"/>
    </row>
    <row r="36">
      <c r="A36" s="7">
        <v>45958.0</v>
      </c>
      <c r="B36" s="9">
        <v>0.0</v>
      </c>
      <c r="C36" s="9">
        <v>5.095</v>
      </c>
      <c r="D36" s="49">
        <f t="shared" si="1"/>
        <v>0</v>
      </c>
      <c r="E36" s="49">
        <f t="shared" si="2"/>
        <v>0</v>
      </c>
      <c r="G36" s="134"/>
      <c r="H36" s="18"/>
      <c r="I36" s="175"/>
      <c r="K36" s="78"/>
      <c r="L36" s="115"/>
      <c r="M36" s="176"/>
    </row>
    <row r="37">
      <c r="A37" s="7">
        <v>45959.0</v>
      </c>
      <c r="B37" s="9">
        <v>0.0</v>
      </c>
      <c r="C37" s="9">
        <v>5.159</v>
      </c>
      <c r="D37" s="49">
        <f t="shared" si="1"/>
        <v>0</v>
      </c>
      <c r="E37" s="49">
        <f t="shared" si="2"/>
        <v>0</v>
      </c>
      <c r="G37" s="134"/>
      <c r="H37" s="18"/>
      <c r="I37" s="175"/>
      <c r="K37" s="145"/>
      <c r="L37" s="81"/>
      <c r="M37" s="81"/>
    </row>
    <row r="38">
      <c r="A38" s="7">
        <v>45960.0</v>
      </c>
      <c r="B38" s="9">
        <v>6.5</v>
      </c>
      <c r="C38" s="9">
        <v>5.077</v>
      </c>
      <c r="D38" s="49">
        <f t="shared" si="1"/>
        <v>6.5</v>
      </c>
      <c r="E38" s="49">
        <f t="shared" si="2"/>
        <v>33.0005</v>
      </c>
      <c r="G38" s="183"/>
      <c r="H38" s="18"/>
      <c r="I38" s="86"/>
      <c r="K38" s="78"/>
      <c r="L38" s="115"/>
      <c r="M38" s="176"/>
    </row>
    <row r="39">
      <c r="A39" s="7">
        <v>45961.0</v>
      </c>
      <c r="B39" s="9">
        <v>0.0</v>
      </c>
      <c r="C39" s="9">
        <v>5.049</v>
      </c>
      <c r="D39" s="49">
        <f t="shared" si="1"/>
        <v>0</v>
      </c>
      <c r="E39" s="49">
        <f t="shared" si="2"/>
        <v>0</v>
      </c>
      <c r="G39" s="136"/>
      <c r="H39" s="91"/>
      <c r="I39" s="90"/>
    </row>
    <row r="40">
      <c r="A40" s="7">
        <v>45964.0</v>
      </c>
      <c r="B40" s="9">
        <v>3.2</v>
      </c>
      <c r="C40" s="9">
        <v>5.022</v>
      </c>
      <c r="D40" s="49">
        <f t="shared" si="1"/>
        <v>3.2</v>
      </c>
      <c r="E40" s="49">
        <f t="shared" si="2"/>
        <v>16.0704</v>
      </c>
      <c r="G40" s="91"/>
      <c r="H40" s="121"/>
      <c r="I40" s="93"/>
    </row>
    <row r="41">
      <c r="A41" s="7">
        <v>45965.0</v>
      </c>
      <c r="B41" s="9">
        <v>0.0</v>
      </c>
      <c r="C41" s="9">
        <v>4.922</v>
      </c>
      <c r="D41" s="49">
        <f t="shared" si="1"/>
        <v>0</v>
      </c>
      <c r="E41" s="49">
        <f t="shared" si="2"/>
        <v>0</v>
      </c>
      <c r="G41" s="94"/>
      <c r="H41" s="94"/>
      <c r="I41" s="96"/>
    </row>
    <row r="42">
      <c r="A42" s="7">
        <v>45966.0</v>
      </c>
      <c r="B42" s="9">
        <v>0.0</v>
      </c>
      <c r="C42" s="9">
        <v>4.918</v>
      </c>
      <c r="D42" s="49">
        <f t="shared" si="1"/>
        <v>0</v>
      </c>
      <c r="E42" s="49">
        <f t="shared" si="2"/>
        <v>0</v>
      </c>
      <c r="G42" s="91"/>
      <c r="H42" s="121"/>
      <c r="I42" s="93"/>
    </row>
    <row r="43">
      <c r="A43" s="7">
        <v>45967.0</v>
      </c>
      <c r="B43" s="9">
        <v>0.0</v>
      </c>
      <c r="C43" s="9">
        <v>4.946</v>
      </c>
      <c r="D43" s="49">
        <f t="shared" si="1"/>
        <v>0</v>
      </c>
      <c r="E43" s="49">
        <f t="shared" si="2"/>
        <v>0</v>
      </c>
      <c r="G43" s="94"/>
      <c r="H43" s="94"/>
      <c r="I43" s="96"/>
    </row>
    <row r="44">
      <c r="A44" s="7">
        <v>45968.0</v>
      </c>
      <c r="B44" s="9">
        <v>0.0</v>
      </c>
      <c r="C44" s="9">
        <v>4.931</v>
      </c>
      <c r="D44" s="49">
        <f t="shared" si="1"/>
        <v>0</v>
      </c>
      <c r="E44" s="49">
        <f t="shared" si="2"/>
        <v>0</v>
      </c>
      <c r="G44" s="136"/>
      <c r="H44" s="91"/>
      <c r="I44" s="90"/>
      <c r="K44" s="137" t="s">
        <v>250</v>
      </c>
      <c r="L44" s="33" t="s">
        <v>65</v>
      </c>
      <c r="M44" s="33" t="s">
        <v>66</v>
      </c>
    </row>
    <row r="45">
      <c r="A45" s="7">
        <v>45971.0</v>
      </c>
      <c r="B45" s="9">
        <v>-3.1</v>
      </c>
      <c r="C45" s="9">
        <v>5.022</v>
      </c>
      <c r="D45" s="49">
        <f t="shared" si="1"/>
        <v>-3.1</v>
      </c>
      <c r="E45" s="49">
        <f t="shared" si="2"/>
        <v>-15.5682</v>
      </c>
      <c r="G45" s="137" t="s">
        <v>250</v>
      </c>
      <c r="H45" s="33" t="s">
        <v>65</v>
      </c>
      <c r="I45" s="98" t="s">
        <v>66</v>
      </c>
      <c r="K45" s="33" t="s">
        <v>145</v>
      </c>
      <c r="L45" s="184">
        <v>0.0</v>
      </c>
      <c r="M45" s="155" t="s">
        <v>178</v>
      </c>
    </row>
    <row r="46">
      <c r="A46" s="7">
        <v>45972.0</v>
      </c>
      <c r="B46" s="9">
        <v>0.0</v>
      </c>
      <c r="C46" s="9">
        <v>5.034</v>
      </c>
      <c r="D46" s="49">
        <f t="shared" si="1"/>
        <v>0</v>
      </c>
      <c r="E46" s="49">
        <f t="shared" si="2"/>
        <v>0</v>
      </c>
      <c r="G46" s="33" t="s">
        <v>145</v>
      </c>
      <c r="H46" s="128">
        <f>D50</f>
        <v>0</v>
      </c>
      <c r="I46" s="100">
        <f>C50</f>
        <v>4.971</v>
      </c>
      <c r="K46" s="36"/>
      <c r="L46" s="36"/>
      <c r="M46" s="36"/>
    </row>
    <row r="47">
      <c r="A47" s="7">
        <v>45973.0</v>
      </c>
      <c r="B47" s="9">
        <v>0.0</v>
      </c>
      <c r="C47" s="9">
        <v>5.052</v>
      </c>
      <c r="D47" s="49">
        <f t="shared" si="1"/>
        <v>0</v>
      </c>
      <c r="E47" s="49">
        <f t="shared" si="2"/>
        <v>0</v>
      </c>
      <c r="G47" s="36"/>
      <c r="H47" s="36"/>
      <c r="I47" s="54"/>
      <c r="K47" s="33" t="s">
        <v>68</v>
      </c>
      <c r="L47" s="147">
        <v>0.0</v>
      </c>
      <c r="M47" s="181" t="s">
        <v>178</v>
      </c>
    </row>
    <row r="48">
      <c r="A48" s="7">
        <v>45974.0</v>
      </c>
      <c r="B48" s="9">
        <v>0.0</v>
      </c>
      <c r="C48" s="9">
        <v>5.048</v>
      </c>
      <c r="D48" s="49">
        <f t="shared" si="1"/>
        <v>0</v>
      </c>
      <c r="E48" s="49">
        <f t="shared" si="2"/>
        <v>0</v>
      </c>
      <c r="G48" s="33" t="s">
        <v>68</v>
      </c>
      <c r="H48" s="139">
        <f>SUM(D46:D50)</f>
        <v>0</v>
      </c>
      <c r="I48" s="100" t="str">
        <f>SUM(E46:E50)/H48</f>
        <v>#DIV/0!</v>
      </c>
      <c r="K48" s="36"/>
      <c r="L48" s="36"/>
      <c r="M48" s="36"/>
    </row>
    <row r="49">
      <c r="A49" s="7">
        <v>45975.0</v>
      </c>
      <c r="B49" s="9">
        <v>0.0</v>
      </c>
      <c r="C49" s="9">
        <v>5.012</v>
      </c>
      <c r="D49" s="49">
        <f t="shared" si="1"/>
        <v>0</v>
      </c>
      <c r="E49" s="49">
        <f t="shared" si="2"/>
        <v>0</v>
      </c>
      <c r="G49" s="36"/>
      <c r="H49" s="36"/>
      <c r="I49" s="54"/>
      <c r="K49" s="33" t="s">
        <v>69</v>
      </c>
      <c r="L49" s="131">
        <v>1.9</v>
      </c>
      <c r="M49" s="181">
        <v>5.23</v>
      </c>
    </row>
    <row r="50">
      <c r="A50" s="7">
        <v>45978.0</v>
      </c>
      <c r="B50" s="9">
        <v>0.0</v>
      </c>
      <c r="C50" s="9">
        <v>4.971</v>
      </c>
      <c r="D50" s="49">
        <f t="shared" si="1"/>
        <v>0</v>
      </c>
      <c r="E50" s="49">
        <f t="shared" si="2"/>
        <v>0</v>
      </c>
      <c r="G50" s="33" t="s">
        <v>69</v>
      </c>
      <c r="H50" s="128">
        <f>SUM(D31:D50)</f>
        <v>1.9</v>
      </c>
      <c r="I50" s="100">
        <f>SUM(E31:E50)/H50</f>
        <v>5.226894737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4.0"/>
    <col customWidth="1" min="5" max="5" width="5.0"/>
    <col customWidth="1" min="9" max="9" width="4.88"/>
    <col customWidth="1" min="13" max="13" width="4.88"/>
    <col customWidth="1" min="14" max="14" width="14.0"/>
  </cols>
  <sheetData>
    <row r="1">
      <c r="A1" s="185"/>
    </row>
    <row r="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3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</row>
    <row r="4">
      <c r="A4" s="81"/>
      <c r="B4" s="97" t="s">
        <v>144</v>
      </c>
      <c r="C4" s="33" t="s">
        <v>65</v>
      </c>
      <c r="D4" s="33" t="s">
        <v>66</v>
      </c>
      <c r="E4" s="81"/>
      <c r="F4" s="124" t="s">
        <v>152</v>
      </c>
      <c r="G4" s="33" t="s">
        <v>65</v>
      </c>
      <c r="H4" s="33" t="s">
        <v>66</v>
      </c>
      <c r="I4" s="81"/>
      <c r="J4" s="137" t="s">
        <v>158</v>
      </c>
      <c r="K4" s="33" t="s">
        <v>65</v>
      </c>
      <c r="L4" s="33" t="s">
        <v>66</v>
      </c>
      <c r="M4" s="81"/>
      <c r="N4" s="137" t="s">
        <v>162</v>
      </c>
      <c r="O4" s="33" t="s">
        <v>65</v>
      </c>
      <c r="P4" s="33" t="s">
        <v>66</v>
      </c>
    </row>
    <row r="5">
      <c r="A5" s="81"/>
      <c r="B5" s="33" t="s">
        <v>145</v>
      </c>
      <c r="C5" s="102">
        <v>5098.39</v>
      </c>
      <c r="D5" s="103">
        <v>6696.7</v>
      </c>
      <c r="E5" s="81"/>
      <c r="F5" s="33" t="s">
        <v>145</v>
      </c>
      <c r="G5" s="126">
        <v>-899.7</v>
      </c>
      <c r="H5" s="127">
        <v>24908.0</v>
      </c>
      <c r="I5" s="81"/>
      <c r="J5" s="33" t="s">
        <v>145</v>
      </c>
      <c r="K5" s="131">
        <v>284.5</v>
      </c>
      <c r="L5" s="138">
        <v>2362.59</v>
      </c>
      <c r="M5" s="81"/>
      <c r="N5" s="33" t="s">
        <v>145</v>
      </c>
      <c r="O5" s="126">
        <v>-5.8</v>
      </c>
      <c r="P5" s="103">
        <v>89.12</v>
      </c>
    </row>
    <row r="6">
      <c r="A6" s="81"/>
      <c r="B6" s="104"/>
      <c r="C6" s="104"/>
      <c r="D6" s="104"/>
      <c r="E6" s="81"/>
      <c r="F6" s="36"/>
      <c r="G6" s="36"/>
      <c r="H6" s="36"/>
      <c r="I6" s="81"/>
      <c r="J6" s="36"/>
      <c r="K6" s="36"/>
      <c r="L6" s="36"/>
      <c r="M6" s="81"/>
      <c r="N6" s="36"/>
      <c r="O6" s="36"/>
      <c r="P6" s="36"/>
    </row>
    <row r="7">
      <c r="A7" s="81"/>
      <c r="B7" s="105" t="s">
        <v>68</v>
      </c>
      <c r="C7" s="102">
        <v>5942.39</v>
      </c>
      <c r="D7" s="103">
        <v>6649.45</v>
      </c>
      <c r="E7" s="81"/>
      <c r="F7" s="33" t="s">
        <v>68</v>
      </c>
      <c r="G7" s="131">
        <v>5879.5</v>
      </c>
      <c r="H7" s="127">
        <v>25176.0</v>
      </c>
      <c r="I7" s="81"/>
      <c r="J7" s="33" t="s">
        <v>68</v>
      </c>
      <c r="K7" s="131">
        <v>1862.96</v>
      </c>
      <c r="L7" s="103">
        <v>2393.42</v>
      </c>
      <c r="M7" s="81"/>
      <c r="N7" s="33" t="s">
        <v>68</v>
      </c>
      <c r="O7" s="126">
        <v>-212.5</v>
      </c>
      <c r="P7" s="103">
        <v>88.81</v>
      </c>
    </row>
    <row r="8">
      <c r="A8" s="81"/>
      <c r="B8" s="36"/>
      <c r="C8" s="36"/>
      <c r="D8" s="36"/>
      <c r="E8" s="81"/>
      <c r="F8" s="36"/>
      <c r="G8" s="36"/>
      <c r="H8" s="36"/>
      <c r="I8" s="81"/>
      <c r="J8" s="36"/>
      <c r="K8" s="36"/>
      <c r="L8" s="36"/>
      <c r="M8" s="81"/>
      <c r="N8" s="36"/>
      <c r="O8" s="36"/>
      <c r="P8" s="36"/>
    </row>
    <row r="9">
      <c r="A9" s="81"/>
      <c r="B9" s="105" t="s">
        <v>69</v>
      </c>
      <c r="C9" s="102">
        <v>18839.17</v>
      </c>
      <c r="D9" s="103">
        <v>6799.13</v>
      </c>
      <c r="E9" s="81"/>
      <c r="F9" s="33" t="s">
        <v>69</v>
      </c>
      <c r="G9" s="131">
        <v>12054.9</v>
      </c>
      <c r="H9" s="127">
        <v>25175.0</v>
      </c>
      <c r="I9" s="81"/>
      <c r="J9" s="33" t="s">
        <v>69</v>
      </c>
      <c r="K9" s="131">
        <v>2360.86</v>
      </c>
      <c r="L9" s="103">
        <v>2367.9</v>
      </c>
      <c r="M9" s="81"/>
      <c r="N9" s="33" t="s">
        <v>69</v>
      </c>
      <c r="O9" s="131">
        <v>571.18</v>
      </c>
      <c r="P9" s="103">
        <v>89.2</v>
      </c>
    </row>
    <row r="10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</row>
    <row r="11">
      <c r="A11" s="81"/>
      <c r="B11" s="137" t="s">
        <v>169</v>
      </c>
      <c r="C11" s="33" t="s">
        <v>65</v>
      </c>
      <c r="D11" s="33" t="s">
        <v>66</v>
      </c>
      <c r="E11" s="81"/>
      <c r="F11" s="137" t="s">
        <v>177</v>
      </c>
      <c r="G11" s="33" t="s">
        <v>65</v>
      </c>
      <c r="H11" s="33" t="s">
        <v>66</v>
      </c>
      <c r="I11" s="81"/>
      <c r="J11" s="137" t="s">
        <v>186</v>
      </c>
      <c r="K11" s="33" t="s">
        <v>65</v>
      </c>
      <c r="L11" s="33" t="s">
        <v>66</v>
      </c>
      <c r="M11" s="81"/>
      <c r="N11" s="137" t="s">
        <v>191</v>
      </c>
      <c r="O11" s="33" t="s">
        <v>65</v>
      </c>
      <c r="P11" s="33" t="s">
        <v>66</v>
      </c>
    </row>
    <row r="12">
      <c r="A12" s="81"/>
      <c r="B12" s="33" t="s">
        <v>145</v>
      </c>
      <c r="C12" s="126">
        <v>-30.1</v>
      </c>
      <c r="D12" s="138">
        <v>186.64</v>
      </c>
      <c r="E12" s="81"/>
      <c r="F12" s="33" t="s">
        <v>145</v>
      </c>
      <c r="G12" s="147">
        <v>0.0</v>
      </c>
      <c r="H12" s="103" t="s">
        <v>178</v>
      </c>
      <c r="I12" s="81"/>
      <c r="J12" s="33" t="s">
        <v>145</v>
      </c>
      <c r="K12" s="126">
        <v>-218.4</v>
      </c>
      <c r="L12" s="103">
        <v>410.54</v>
      </c>
      <c r="M12" s="81"/>
      <c r="N12" s="33" t="s">
        <v>145</v>
      </c>
      <c r="O12" s="147">
        <v>0.0</v>
      </c>
      <c r="P12" s="138" t="s">
        <v>178</v>
      </c>
    </row>
    <row r="13">
      <c r="A13" s="81"/>
      <c r="B13" s="36"/>
      <c r="C13" s="36"/>
      <c r="D13" s="36"/>
      <c r="E13" s="81"/>
      <c r="F13" s="36"/>
      <c r="G13" s="36"/>
      <c r="H13" s="36"/>
      <c r="I13" s="81"/>
      <c r="J13" s="36"/>
      <c r="K13" s="36"/>
      <c r="L13" s="36"/>
      <c r="M13" s="81"/>
      <c r="N13" s="36"/>
      <c r="O13" s="36"/>
      <c r="P13" s="36"/>
    </row>
    <row r="14">
      <c r="A14" s="81"/>
      <c r="B14" s="33" t="s">
        <v>68</v>
      </c>
      <c r="C14" s="131">
        <v>917.1</v>
      </c>
      <c r="D14" s="103">
        <v>190.44</v>
      </c>
      <c r="E14" s="81"/>
      <c r="F14" s="33" t="s">
        <v>68</v>
      </c>
      <c r="G14" s="131">
        <v>2.6</v>
      </c>
      <c r="H14" s="103">
        <v>338.75</v>
      </c>
      <c r="I14" s="81"/>
      <c r="J14" s="33" t="s">
        <v>68</v>
      </c>
      <c r="K14" s="126">
        <v>-205.4</v>
      </c>
      <c r="L14" s="103">
        <v>475.05</v>
      </c>
      <c r="M14" s="81"/>
      <c r="N14" s="33" t="s">
        <v>68</v>
      </c>
      <c r="O14" s="126">
        <v>-2.8</v>
      </c>
      <c r="P14" s="103">
        <v>580.48</v>
      </c>
    </row>
    <row r="15">
      <c r="A15" s="81"/>
      <c r="B15" s="36"/>
      <c r="C15" s="36"/>
      <c r="D15" s="36"/>
      <c r="E15" s="81"/>
      <c r="F15" s="36"/>
      <c r="G15" s="36"/>
      <c r="H15" s="36"/>
      <c r="I15" s="81"/>
      <c r="J15" s="36"/>
      <c r="K15" s="36"/>
      <c r="L15" s="36"/>
      <c r="M15" s="81"/>
      <c r="N15" s="36"/>
      <c r="O15" s="36"/>
      <c r="P15" s="36"/>
    </row>
    <row r="16">
      <c r="A16" s="81"/>
      <c r="B16" s="33" t="s">
        <v>69</v>
      </c>
      <c r="C16" s="131">
        <v>175.0</v>
      </c>
      <c r="D16" s="103">
        <v>152.37</v>
      </c>
      <c r="E16" s="81"/>
      <c r="F16" s="33" t="s">
        <v>69</v>
      </c>
      <c r="G16" s="126">
        <v>-45.6</v>
      </c>
      <c r="H16" s="103">
        <v>376.1</v>
      </c>
      <c r="I16" s="81"/>
      <c r="J16" s="33" t="s">
        <v>69</v>
      </c>
      <c r="K16" s="102">
        <v>208.77</v>
      </c>
      <c r="L16" s="103">
        <v>257.29</v>
      </c>
      <c r="M16" s="81"/>
      <c r="N16" s="33" t="s">
        <v>69</v>
      </c>
      <c r="O16" s="131">
        <v>2411.2</v>
      </c>
      <c r="P16" s="103">
        <v>653.54</v>
      </c>
    </row>
    <row r="17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</row>
    <row r="18">
      <c r="A18" s="81"/>
      <c r="B18" s="137" t="s">
        <v>196</v>
      </c>
      <c r="C18" s="33" t="s">
        <v>65</v>
      </c>
      <c r="D18" s="33" t="s">
        <v>66</v>
      </c>
      <c r="E18" s="81"/>
      <c r="F18" s="137" t="s">
        <v>201</v>
      </c>
      <c r="G18" s="33" t="s">
        <v>65</v>
      </c>
      <c r="H18" s="33" t="s">
        <v>66</v>
      </c>
      <c r="I18" s="81"/>
      <c r="J18" s="137" t="s">
        <v>205</v>
      </c>
      <c r="K18" s="33" t="s">
        <v>65</v>
      </c>
      <c r="L18" s="33" t="s">
        <v>66</v>
      </c>
      <c r="M18" s="81"/>
      <c r="N18" s="137" t="s">
        <v>208</v>
      </c>
      <c r="O18" s="33" t="s">
        <v>65</v>
      </c>
      <c r="P18" s="33" t="s">
        <v>66</v>
      </c>
    </row>
    <row r="19">
      <c r="A19" s="81"/>
      <c r="B19" s="33" t="s">
        <v>145</v>
      </c>
      <c r="C19" s="126">
        <v>-16.6</v>
      </c>
      <c r="D19" s="138">
        <v>267.89</v>
      </c>
      <c r="E19" s="81"/>
      <c r="F19" s="33" t="s">
        <v>145</v>
      </c>
      <c r="G19" s="147">
        <v>0.0</v>
      </c>
      <c r="H19" s="138" t="s">
        <v>178</v>
      </c>
      <c r="I19" s="81"/>
      <c r="J19" s="33" t="s">
        <v>145</v>
      </c>
      <c r="K19" s="131">
        <v>12.1</v>
      </c>
      <c r="L19" s="138">
        <v>288.12</v>
      </c>
      <c r="M19" s="81"/>
      <c r="N19" s="33" t="s">
        <v>145</v>
      </c>
      <c r="O19" s="147">
        <v>0.0</v>
      </c>
      <c r="P19" s="138" t="s">
        <v>178</v>
      </c>
    </row>
    <row r="20">
      <c r="A20" s="81"/>
      <c r="B20" s="36"/>
      <c r="C20" s="36"/>
      <c r="D20" s="36"/>
      <c r="E20" s="81"/>
      <c r="F20" s="36"/>
      <c r="G20" s="36"/>
      <c r="H20" s="36"/>
      <c r="I20" s="81"/>
      <c r="J20" s="36"/>
      <c r="K20" s="36"/>
      <c r="L20" s="36"/>
      <c r="M20" s="81"/>
      <c r="N20" s="36"/>
      <c r="O20" s="156"/>
      <c r="P20" s="36"/>
    </row>
    <row r="21">
      <c r="A21" s="81"/>
      <c r="B21" s="33" t="s">
        <v>68</v>
      </c>
      <c r="C21" s="131">
        <v>3.6</v>
      </c>
      <c r="D21" s="103">
        <v>276.85</v>
      </c>
      <c r="E21" s="81"/>
      <c r="F21" s="33" t="s">
        <v>68</v>
      </c>
      <c r="G21" s="126">
        <v>-1.4</v>
      </c>
      <c r="H21" s="103">
        <v>505.43</v>
      </c>
      <c r="I21" s="81"/>
      <c r="J21" s="33" t="s">
        <v>68</v>
      </c>
      <c r="K21" s="126">
        <v>-34.9</v>
      </c>
      <c r="L21" s="103">
        <v>276.77</v>
      </c>
      <c r="M21" s="81"/>
      <c r="N21" s="33" t="s">
        <v>68</v>
      </c>
      <c r="O21" s="126">
        <v>-1.8</v>
      </c>
      <c r="P21" s="138">
        <v>214.47</v>
      </c>
    </row>
    <row r="22">
      <c r="A22" s="81"/>
      <c r="B22" s="36"/>
      <c r="C22" s="19"/>
      <c r="D22" s="36"/>
      <c r="E22" s="81"/>
      <c r="F22" s="36"/>
      <c r="G22" s="36"/>
      <c r="H22" s="36"/>
      <c r="I22" s="81"/>
      <c r="J22" s="36"/>
      <c r="K22" s="36"/>
      <c r="L22" s="36"/>
      <c r="M22" s="81"/>
      <c r="N22" s="36"/>
      <c r="O22" s="36"/>
      <c r="P22" s="36"/>
    </row>
    <row r="23">
      <c r="A23" s="81"/>
      <c r="B23" s="33" t="s">
        <v>69</v>
      </c>
      <c r="C23" s="126">
        <v>-72.0</v>
      </c>
      <c r="D23" s="103">
        <v>262.33</v>
      </c>
      <c r="E23" s="81"/>
      <c r="F23" s="33" t="s">
        <v>69</v>
      </c>
      <c r="G23" s="131">
        <v>197.2</v>
      </c>
      <c r="H23" s="103">
        <v>524.05</v>
      </c>
      <c r="I23" s="81"/>
      <c r="J23" s="33" t="s">
        <v>69</v>
      </c>
      <c r="K23" s="131">
        <v>143.3</v>
      </c>
      <c r="L23" s="103">
        <v>270.69</v>
      </c>
      <c r="M23" s="81"/>
      <c r="N23" s="33" t="s">
        <v>69</v>
      </c>
      <c r="O23" s="126">
        <v>-5.2</v>
      </c>
      <c r="P23" s="138">
        <v>214.55</v>
      </c>
    </row>
    <row r="24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1"/>
      <c r="B25" s="163" t="s">
        <v>213</v>
      </c>
      <c r="C25" s="163" t="s">
        <v>65</v>
      </c>
      <c r="D25" s="163" t="s">
        <v>66</v>
      </c>
      <c r="E25" s="81"/>
      <c r="F25" s="163" t="s">
        <v>218</v>
      </c>
      <c r="G25" s="163" t="s">
        <v>65</v>
      </c>
      <c r="H25" s="163" t="s">
        <v>66</v>
      </c>
      <c r="I25" s="81"/>
      <c r="J25" s="137" t="s">
        <v>225</v>
      </c>
      <c r="K25" s="33" t="s">
        <v>65</v>
      </c>
      <c r="L25" s="33" t="s">
        <v>66</v>
      </c>
      <c r="M25" s="81"/>
      <c r="N25" s="137" t="s">
        <v>232</v>
      </c>
      <c r="O25" s="33" t="s">
        <v>65</v>
      </c>
      <c r="P25" s="33" t="s">
        <v>66</v>
      </c>
    </row>
    <row r="26">
      <c r="A26" s="81"/>
      <c r="B26" s="33" t="s">
        <v>145</v>
      </c>
      <c r="C26" s="126">
        <v>-20.5</v>
      </c>
      <c r="D26" s="138">
        <v>341.9</v>
      </c>
      <c r="E26" s="81"/>
      <c r="F26" s="33" t="s">
        <v>145</v>
      </c>
      <c r="G26" s="126">
        <v>-296.7</v>
      </c>
      <c r="H26" s="103">
        <v>4053.21</v>
      </c>
      <c r="I26" s="81"/>
      <c r="J26" s="33" t="s">
        <v>145</v>
      </c>
      <c r="K26" s="131">
        <v>54.24</v>
      </c>
      <c r="L26" s="103">
        <v>50.37</v>
      </c>
      <c r="M26" s="81"/>
      <c r="N26" s="33" t="s">
        <v>145</v>
      </c>
      <c r="O26" s="126">
        <v>-5.7</v>
      </c>
      <c r="P26" s="138">
        <v>63.76</v>
      </c>
    </row>
    <row r="27">
      <c r="A27" s="81"/>
      <c r="B27" s="36"/>
      <c r="C27" s="36"/>
      <c r="D27" s="36"/>
      <c r="E27" s="81"/>
      <c r="F27" s="36"/>
      <c r="G27" s="36"/>
      <c r="H27" s="36"/>
      <c r="I27" s="81"/>
      <c r="J27" s="36"/>
      <c r="K27" s="36"/>
      <c r="L27" s="36"/>
      <c r="M27" s="81"/>
      <c r="N27" s="36"/>
      <c r="O27" s="36"/>
      <c r="P27" s="36"/>
    </row>
    <row r="28">
      <c r="A28" s="81"/>
      <c r="B28" s="33" t="s">
        <v>68</v>
      </c>
      <c r="C28" s="126">
        <v>-123.3</v>
      </c>
      <c r="D28" s="103">
        <v>275.27</v>
      </c>
      <c r="E28" s="81"/>
      <c r="F28" s="33" t="s">
        <v>68</v>
      </c>
      <c r="G28" s="131">
        <v>251.3</v>
      </c>
      <c r="H28" s="103">
        <v>4345.74</v>
      </c>
      <c r="I28" s="81"/>
      <c r="J28" s="33" t="s">
        <v>68</v>
      </c>
      <c r="K28" s="131">
        <v>335.74</v>
      </c>
      <c r="L28" s="103">
        <v>52.0</v>
      </c>
      <c r="M28" s="81"/>
      <c r="N28" s="33" t="s">
        <v>68</v>
      </c>
      <c r="O28" s="131">
        <v>28.9</v>
      </c>
      <c r="P28" s="103">
        <v>61.81</v>
      </c>
    </row>
    <row r="29">
      <c r="A29" s="81"/>
      <c r="B29" s="36"/>
      <c r="C29" s="36"/>
      <c r="D29" s="36"/>
      <c r="E29" s="81"/>
      <c r="F29" s="36"/>
      <c r="G29" s="36"/>
      <c r="H29" s="36"/>
      <c r="I29" s="81"/>
      <c r="J29" s="36"/>
      <c r="K29" s="36"/>
      <c r="L29" s="36"/>
      <c r="M29" s="81"/>
      <c r="N29" s="36"/>
      <c r="O29" s="36"/>
      <c r="P29" s="36"/>
    </row>
    <row r="30">
      <c r="A30" s="81"/>
      <c r="B30" s="33" t="s">
        <v>69</v>
      </c>
      <c r="C30" s="131">
        <v>2666.3</v>
      </c>
      <c r="D30" s="103">
        <v>357.17</v>
      </c>
      <c r="E30" s="81"/>
      <c r="F30" s="33" t="s">
        <v>69</v>
      </c>
      <c r="G30" s="126">
        <v>-3056.2</v>
      </c>
      <c r="H30" s="103">
        <v>4015.82</v>
      </c>
      <c r="I30" s="81"/>
      <c r="J30" s="33" t="s">
        <v>69</v>
      </c>
      <c r="K30" s="126">
        <v>-593.26</v>
      </c>
      <c r="L30" s="103">
        <v>45.95</v>
      </c>
      <c r="M30" s="81"/>
      <c r="N30" s="33" t="s">
        <v>69</v>
      </c>
      <c r="O30" s="174">
        <v>-211.4</v>
      </c>
      <c r="P30" s="103">
        <v>65.23</v>
      </c>
    </row>
    <row r="31">
      <c r="A31" s="81"/>
      <c r="B31" s="81"/>
      <c r="C31" s="81"/>
      <c r="D31" s="81"/>
      <c r="E31" s="81"/>
      <c r="F31" s="186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 ht="16.5" customHeight="1">
      <c r="A32" s="81"/>
      <c r="B32" s="137" t="s">
        <v>238</v>
      </c>
      <c r="C32" s="33" t="s">
        <v>65</v>
      </c>
      <c r="D32" s="33" t="s">
        <v>66</v>
      </c>
      <c r="E32" s="81"/>
      <c r="F32" s="137" t="s">
        <v>241</v>
      </c>
      <c r="G32" s="33" t="s">
        <v>65</v>
      </c>
      <c r="H32" s="33" t="s">
        <v>66</v>
      </c>
      <c r="I32" s="81"/>
      <c r="J32" s="137" t="s">
        <v>246</v>
      </c>
      <c r="K32" s="33" t="s">
        <v>65</v>
      </c>
      <c r="L32" s="33" t="s">
        <v>66</v>
      </c>
      <c r="M32" s="81"/>
      <c r="N32" s="137" t="s">
        <v>250</v>
      </c>
      <c r="O32" s="33" t="s">
        <v>65</v>
      </c>
      <c r="P32" s="33" t="s">
        <v>66</v>
      </c>
    </row>
    <row r="33">
      <c r="A33" s="81"/>
      <c r="B33" s="33" t="s">
        <v>145</v>
      </c>
      <c r="C33" s="126">
        <v>-8.5</v>
      </c>
      <c r="D33" s="138">
        <v>4.57</v>
      </c>
      <c r="E33" s="81"/>
      <c r="F33" s="33" t="s">
        <v>145</v>
      </c>
      <c r="G33" s="147">
        <v>0.0</v>
      </c>
      <c r="H33" s="138" t="s">
        <v>178</v>
      </c>
      <c r="I33" s="81"/>
      <c r="J33" s="33" t="s">
        <v>145</v>
      </c>
      <c r="K33" s="147">
        <v>0.0</v>
      </c>
      <c r="L33" s="103" t="s">
        <v>178</v>
      </c>
      <c r="M33" s="81"/>
      <c r="N33" s="33" t="s">
        <v>145</v>
      </c>
      <c r="O33" s="184">
        <v>0.0</v>
      </c>
      <c r="P33" s="155" t="s">
        <v>178</v>
      </c>
    </row>
    <row r="34">
      <c r="A34" s="81"/>
      <c r="B34" s="36"/>
      <c r="C34" s="36"/>
      <c r="D34" s="36"/>
      <c r="E34" s="81"/>
      <c r="F34" s="36"/>
      <c r="G34" s="36"/>
      <c r="H34" s="36"/>
      <c r="I34" s="81"/>
      <c r="J34" s="36"/>
      <c r="K34" s="182"/>
      <c r="L34" s="36"/>
      <c r="M34" s="81"/>
      <c r="N34" s="36"/>
      <c r="O34" s="36"/>
      <c r="P34" s="36"/>
    </row>
    <row r="35">
      <c r="A35" s="81"/>
      <c r="B35" s="33" t="s">
        <v>68</v>
      </c>
      <c r="C35" s="126">
        <v>-239.0</v>
      </c>
      <c r="D35" s="181">
        <v>4.62</v>
      </c>
      <c r="E35" s="81"/>
      <c r="F35" s="33" t="s">
        <v>68</v>
      </c>
      <c r="G35" s="147">
        <v>0.0</v>
      </c>
      <c r="H35" s="138" t="s">
        <v>178</v>
      </c>
      <c r="I35" s="81"/>
      <c r="J35" s="33" t="s">
        <v>68</v>
      </c>
      <c r="K35" s="131">
        <v>14.4</v>
      </c>
      <c r="L35" s="103">
        <v>1599.93</v>
      </c>
      <c r="M35" s="81"/>
      <c r="N35" s="33" t="s">
        <v>68</v>
      </c>
      <c r="O35" s="147">
        <v>0.0</v>
      </c>
      <c r="P35" s="181" t="s">
        <v>178</v>
      </c>
    </row>
    <row r="36">
      <c r="A36" s="81"/>
      <c r="B36" s="36"/>
      <c r="C36" s="36"/>
      <c r="D36" s="36"/>
      <c r="E36" s="81"/>
      <c r="F36" s="36"/>
      <c r="G36" s="36"/>
      <c r="H36" s="36"/>
      <c r="I36" s="81"/>
      <c r="J36" s="36"/>
      <c r="K36" s="36"/>
      <c r="L36" s="36"/>
      <c r="M36" s="81"/>
      <c r="N36" s="36"/>
      <c r="O36" s="36"/>
      <c r="P36" s="36"/>
    </row>
    <row r="37">
      <c r="A37" s="81"/>
      <c r="B37" s="33" t="s">
        <v>69</v>
      </c>
      <c r="C37" s="126">
        <v>-697.7</v>
      </c>
      <c r="D37" s="181">
        <v>4.33</v>
      </c>
      <c r="E37" s="81"/>
      <c r="F37" s="33" t="s">
        <v>69</v>
      </c>
      <c r="G37" s="126">
        <v>-33.9</v>
      </c>
      <c r="H37" s="103">
        <v>1447.64</v>
      </c>
      <c r="I37" s="81"/>
      <c r="J37" s="33" t="s">
        <v>69</v>
      </c>
      <c r="K37" s="126">
        <v>-46.07</v>
      </c>
      <c r="L37" s="103">
        <v>1494.43</v>
      </c>
      <c r="M37" s="81"/>
      <c r="N37" s="33" t="s">
        <v>69</v>
      </c>
      <c r="O37" s="131">
        <v>1.9</v>
      </c>
      <c r="P37" s="181">
        <v>5.23</v>
      </c>
    </row>
    <row r="38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</row>
    <row r="39">
      <c r="A39" s="81"/>
      <c r="B39" s="142"/>
      <c r="C39" s="91"/>
      <c r="D39" s="91"/>
      <c r="E39" s="81"/>
      <c r="F39" s="136"/>
      <c r="G39" s="91"/>
      <c r="H39" s="91"/>
      <c r="I39" s="81"/>
      <c r="J39" s="136"/>
      <c r="K39" s="91"/>
      <c r="L39" s="91"/>
      <c r="M39" s="81"/>
      <c r="N39" s="81"/>
      <c r="O39" s="81"/>
      <c r="P39" s="81"/>
    </row>
    <row r="40">
      <c r="A40" s="81"/>
      <c r="B40" s="91"/>
      <c r="C40" s="94"/>
      <c r="D40" s="94"/>
      <c r="E40" s="81"/>
      <c r="F40" s="91"/>
      <c r="G40" s="94"/>
      <c r="H40" s="94"/>
      <c r="I40" s="81"/>
      <c r="J40" s="91"/>
      <c r="K40" s="94"/>
      <c r="L40" s="94"/>
      <c r="M40" s="81"/>
      <c r="N40" s="81"/>
      <c r="O40" s="81"/>
      <c r="P40" s="81"/>
    </row>
    <row r="41">
      <c r="A41" s="81"/>
      <c r="B41" s="94"/>
      <c r="C41" s="94"/>
      <c r="D41" s="94"/>
      <c r="E41" s="81"/>
      <c r="F41" s="94"/>
      <c r="G41" s="94"/>
      <c r="H41" s="94"/>
      <c r="I41" s="81"/>
      <c r="J41" s="94"/>
      <c r="K41" s="94"/>
      <c r="L41" s="94"/>
      <c r="M41" s="81"/>
      <c r="N41" s="81"/>
      <c r="O41" s="81"/>
      <c r="P41" s="81"/>
    </row>
    <row r="42">
      <c r="A42" s="81"/>
      <c r="B42" s="91"/>
      <c r="C42" s="94"/>
      <c r="D42" s="94"/>
      <c r="E42" s="81"/>
      <c r="F42" s="91"/>
      <c r="G42" s="94"/>
      <c r="H42" s="94"/>
      <c r="I42" s="81"/>
      <c r="J42" s="91"/>
      <c r="K42" s="94"/>
      <c r="L42" s="94"/>
      <c r="M42" s="81"/>
      <c r="N42" s="81"/>
      <c r="O42" s="81"/>
      <c r="P42" s="81"/>
    </row>
    <row r="43">
      <c r="A43" s="81"/>
      <c r="B43" s="94"/>
      <c r="C43" s="94"/>
      <c r="D43" s="94"/>
      <c r="E43" s="81"/>
      <c r="F43" s="94"/>
      <c r="G43" s="94"/>
      <c r="H43" s="94"/>
      <c r="I43" s="81"/>
      <c r="J43" s="94"/>
      <c r="K43" s="94"/>
      <c r="L43" s="94"/>
      <c r="M43" s="81"/>
      <c r="N43" s="81"/>
      <c r="O43" s="81"/>
      <c r="P43" s="81"/>
    </row>
    <row r="44">
      <c r="A44" s="81"/>
      <c r="B44" s="187"/>
      <c r="C44" s="110"/>
      <c r="D44" s="110"/>
      <c r="E44" s="81"/>
      <c r="F44" s="187"/>
      <c r="G44" s="110"/>
      <c r="H44" s="110"/>
      <c r="I44" s="81"/>
      <c r="J44" s="187"/>
      <c r="K44" s="110"/>
      <c r="L44" s="110"/>
      <c r="M44" s="81"/>
      <c r="N44" s="81"/>
      <c r="O44" s="81"/>
      <c r="P44" s="81"/>
    </row>
    <row r="45">
      <c r="B45" s="110"/>
      <c r="C45" s="166"/>
      <c r="D45" s="188"/>
      <c r="E45" s="81"/>
      <c r="F45" s="110"/>
      <c r="G45" s="166"/>
      <c r="H45" s="188"/>
      <c r="I45" s="81"/>
      <c r="J45" s="110"/>
      <c r="K45" s="166"/>
      <c r="L45" s="188"/>
    </row>
    <row r="46">
      <c r="B46" s="189"/>
      <c r="C46" s="190"/>
      <c r="D46" s="190"/>
      <c r="E46" s="81"/>
      <c r="F46" s="189"/>
      <c r="G46" s="190"/>
      <c r="H46" s="190"/>
      <c r="I46" s="81"/>
      <c r="J46" s="189"/>
      <c r="K46" s="190"/>
      <c r="L46" s="190"/>
    </row>
    <row r="47">
      <c r="B47" s="110"/>
      <c r="C47" s="191"/>
      <c r="D47" s="143"/>
      <c r="E47" s="81"/>
      <c r="F47" s="110"/>
      <c r="G47" s="191"/>
      <c r="H47" s="143"/>
      <c r="I47" s="81"/>
      <c r="J47" s="110"/>
      <c r="K47" s="192"/>
      <c r="L47" s="143"/>
    </row>
    <row r="48">
      <c r="B48" s="189"/>
      <c r="C48" s="190"/>
      <c r="D48" s="190"/>
      <c r="E48" s="81"/>
      <c r="F48" s="189"/>
      <c r="G48" s="190"/>
      <c r="H48" s="190"/>
      <c r="I48" s="81"/>
      <c r="J48" s="189"/>
      <c r="K48" s="190"/>
      <c r="L48" s="190"/>
    </row>
    <row r="49">
      <c r="B49" s="110"/>
      <c r="C49" s="192"/>
      <c r="D49" s="143"/>
      <c r="E49" s="81"/>
      <c r="F49" s="110"/>
      <c r="G49" s="192"/>
      <c r="H49" s="143"/>
      <c r="I49" s="81"/>
      <c r="J49" s="110"/>
      <c r="K49" s="192"/>
      <c r="L49" s="19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8" max="8" width="14.38"/>
    <col customWidth="1" min="9" max="9" width="15.38"/>
  </cols>
  <sheetData>
    <row r="1">
      <c r="A1" s="108" t="s">
        <v>251</v>
      </c>
      <c r="B1" s="108" t="s">
        <v>252</v>
      </c>
      <c r="C1" s="108" t="s">
        <v>253</v>
      </c>
      <c r="D1" s="108" t="s">
        <v>254</v>
      </c>
      <c r="E1" s="108" t="s">
        <v>255</v>
      </c>
      <c r="F1" s="108" t="s">
        <v>256</v>
      </c>
    </row>
    <row r="2">
      <c r="A2" s="194">
        <v>45951.0</v>
      </c>
      <c r="B2" s="9">
        <v>39.55</v>
      </c>
      <c r="C2" s="9">
        <v>-13.88</v>
      </c>
      <c r="D2" s="9">
        <v>-21.41</v>
      </c>
      <c r="E2" s="9">
        <v>-12.3</v>
      </c>
      <c r="F2" s="9">
        <f t="shared" ref="F2:F12" si="1">SUM(B2:E2)</f>
        <v>-8.04</v>
      </c>
    </row>
    <row r="3">
      <c r="A3" s="194">
        <v>45952.0</v>
      </c>
      <c r="B3" s="9">
        <v>-27.92</v>
      </c>
      <c r="C3" s="9">
        <v>-179.36</v>
      </c>
      <c r="D3" s="9">
        <v>-122.86</v>
      </c>
      <c r="E3" s="9">
        <v>-49.11</v>
      </c>
      <c r="F3" s="9">
        <f t="shared" si="1"/>
        <v>-379.25</v>
      </c>
    </row>
    <row r="4">
      <c r="A4" s="194">
        <v>45953.0</v>
      </c>
      <c r="B4" s="9">
        <v>22.63</v>
      </c>
      <c r="C4" s="9">
        <v>163.04</v>
      </c>
      <c r="D4" s="9">
        <v>136.76</v>
      </c>
      <c r="E4" s="9">
        <v>37.54</v>
      </c>
      <c r="F4" s="9">
        <f t="shared" si="1"/>
        <v>359.97</v>
      </c>
    </row>
    <row r="5">
      <c r="A5" s="194">
        <v>45954.0</v>
      </c>
      <c r="B5" s="9">
        <v>47.27</v>
      </c>
      <c r="C5" s="9">
        <v>104.09</v>
      </c>
      <c r="D5" s="9">
        <v>63.04</v>
      </c>
      <c r="E5" s="9">
        <v>29.27</v>
      </c>
      <c r="F5" s="9">
        <f t="shared" si="1"/>
        <v>243.67</v>
      </c>
    </row>
    <row r="6">
      <c r="A6" s="194">
        <v>45957.0</v>
      </c>
      <c r="B6" s="9">
        <v>47.29</v>
      </c>
      <c r="C6" s="9">
        <v>260.75</v>
      </c>
      <c r="D6" s="9">
        <v>207.11</v>
      </c>
      <c r="E6" s="9">
        <v>23.2</v>
      </c>
      <c r="F6" s="9">
        <f t="shared" si="1"/>
        <v>538.35</v>
      </c>
    </row>
    <row r="7">
      <c r="A7" s="194">
        <v>45958.0</v>
      </c>
      <c r="B7" s="9">
        <v>44.33</v>
      </c>
      <c r="C7" s="9">
        <v>34.94</v>
      </c>
      <c r="D7" s="9">
        <v>118.76</v>
      </c>
      <c r="E7" s="9">
        <v>-21.83</v>
      </c>
      <c r="F7" s="9">
        <f t="shared" si="1"/>
        <v>176.2</v>
      </c>
    </row>
    <row r="8">
      <c r="A8" s="194">
        <v>45959.0</v>
      </c>
      <c r="B8" s="9">
        <v>-16.79</v>
      </c>
      <c r="C8" s="9">
        <v>27.81</v>
      </c>
      <c r="D8" s="9">
        <v>107.64</v>
      </c>
      <c r="E8" s="9">
        <v>-0.1</v>
      </c>
      <c r="F8" s="9">
        <f t="shared" si="1"/>
        <v>118.56</v>
      </c>
    </row>
    <row r="9">
      <c r="A9" s="194">
        <v>45960.0</v>
      </c>
      <c r="B9" s="9">
        <v>-25.65</v>
      </c>
      <c r="C9" s="9">
        <v>-181.62</v>
      </c>
      <c r="D9" s="9">
        <v>-143.39</v>
      </c>
      <c r="E9" s="9">
        <v>-17.92</v>
      </c>
      <c r="F9" s="9">
        <f t="shared" si="1"/>
        <v>-368.58</v>
      </c>
    </row>
    <row r="10">
      <c r="A10" s="194">
        <v>45964.0</v>
      </c>
      <c r="B10" s="9">
        <v>-22.36</v>
      </c>
      <c r="C10" s="9">
        <v>16.07</v>
      </c>
      <c r="D10" s="9">
        <v>61.15</v>
      </c>
      <c r="E10" s="9">
        <v>-6.16</v>
      </c>
      <c r="F10" s="9">
        <f t="shared" si="1"/>
        <v>48.7</v>
      </c>
    </row>
    <row r="11">
      <c r="A11" s="194">
        <v>45965.0</v>
      </c>
      <c r="B11" s="9">
        <v>-23.64</v>
      </c>
      <c r="C11" s="9">
        <v>-238.23</v>
      </c>
      <c r="D11" s="9">
        <v>-176.59</v>
      </c>
      <c r="E11" s="9">
        <v>-36.76</v>
      </c>
      <c r="F11" s="9">
        <f t="shared" si="1"/>
        <v>-475.22</v>
      </c>
      <c r="H11" s="151"/>
      <c r="I11" s="195"/>
      <c r="J11" s="195"/>
      <c r="K11" s="195"/>
      <c r="L11" s="195"/>
      <c r="M11" s="195"/>
    </row>
    <row r="12">
      <c r="A12" s="194">
        <v>45966.0</v>
      </c>
      <c r="B12" s="9">
        <v>10.3</v>
      </c>
      <c r="C12" s="9">
        <v>120.42</v>
      </c>
      <c r="D12" s="9">
        <v>91.78</v>
      </c>
      <c r="E12" s="9">
        <v>30.93</v>
      </c>
      <c r="F12" s="9">
        <f t="shared" si="1"/>
        <v>253.43</v>
      </c>
      <c r="H12" s="133"/>
      <c r="I12" s="196"/>
      <c r="J12" s="196"/>
      <c r="K12" s="196"/>
      <c r="L12" s="196"/>
      <c r="M12" s="196"/>
    </row>
    <row r="13">
      <c r="A13" s="194">
        <v>45967.0</v>
      </c>
      <c r="H13" s="133"/>
      <c r="I13" s="196"/>
      <c r="J13" s="196"/>
      <c r="K13" s="196"/>
      <c r="L13" s="196"/>
      <c r="M13" s="196"/>
    </row>
    <row r="14">
      <c r="A14" s="194">
        <v>45968.0</v>
      </c>
      <c r="H14" s="197" t="s">
        <v>257</v>
      </c>
      <c r="I14" s="198" t="s">
        <v>252</v>
      </c>
      <c r="J14" s="198" t="s">
        <v>253</v>
      </c>
      <c r="K14" s="198" t="s">
        <v>254</v>
      </c>
      <c r="L14" s="198" t="s">
        <v>255</v>
      </c>
      <c r="M14" s="198" t="s">
        <v>256</v>
      </c>
    </row>
    <row r="15">
      <c r="A15" s="185"/>
      <c r="H15" s="198" t="s">
        <v>145</v>
      </c>
      <c r="I15" s="199" t="str">
        <f t="shared" ref="I15:M15" si="2">B14</f>
        <v/>
      </c>
      <c r="J15" s="199" t="str">
        <f t="shared" si="2"/>
        <v/>
      </c>
      <c r="K15" s="199" t="str">
        <f t="shared" si="2"/>
        <v/>
      </c>
      <c r="L15" s="199" t="str">
        <f t="shared" si="2"/>
        <v/>
      </c>
      <c r="M15" s="199" t="str">
        <f t="shared" si="2"/>
        <v/>
      </c>
    </row>
    <row r="16">
      <c r="A16" s="185"/>
      <c r="H16" s="104"/>
      <c r="I16" s="36"/>
      <c r="J16" s="36"/>
      <c r="K16" s="36"/>
      <c r="L16" s="36"/>
      <c r="M16" s="36"/>
    </row>
    <row r="17">
      <c r="H17" s="198" t="s">
        <v>68</v>
      </c>
      <c r="I17" s="139">
        <f t="shared" ref="I17:M17" si="3">SUM(B10:B14)</f>
        <v>-35.7</v>
      </c>
      <c r="J17" s="139">
        <f t="shared" si="3"/>
        <v>-101.74</v>
      </c>
      <c r="K17" s="139">
        <f t="shared" si="3"/>
        <v>-23.66</v>
      </c>
      <c r="L17" s="139">
        <f t="shared" si="3"/>
        <v>-11.99</v>
      </c>
      <c r="M17" s="139">
        <f t="shared" si="3"/>
        <v>-173.09</v>
      </c>
    </row>
    <row r="18">
      <c r="H18" s="36"/>
      <c r="I18" s="36"/>
      <c r="J18" s="36"/>
      <c r="K18" s="36"/>
      <c r="L18" s="36"/>
      <c r="M18" s="36"/>
    </row>
    <row r="19">
      <c r="H19" s="198" t="s">
        <v>258</v>
      </c>
      <c r="I19" s="128">
        <f t="shared" ref="I19:M19" si="4">SUM(B5:B14)</f>
        <v>60.75</v>
      </c>
      <c r="J19" s="128">
        <f t="shared" si="4"/>
        <v>144.23</v>
      </c>
      <c r="K19" s="128">
        <f t="shared" si="4"/>
        <v>329.5</v>
      </c>
      <c r="L19" s="139">
        <f t="shared" si="4"/>
        <v>0.63</v>
      </c>
      <c r="M19" s="128">
        <f t="shared" si="4"/>
        <v>535.11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2.5"/>
    <col customWidth="1" min="3" max="3" width="15.13"/>
    <col customWidth="1" min="4" max="4" width="14.5"/>
    <col customWidth="1" min="5" max="5" width="13.88"/>
    <col customWidth="1" min="7" max="7" width="15.25"/>
    <col customWidth="1" min="11" max="11" width="14.5"/>
    <col customWidth="1" min="12" max="13" width="16.75"/>
    <col customWidth="1" min="14" max="14" width="15.25"/>
  </cols>
  <sheetData>
    <row r="3">
      <c r="B3" s="187"/>
      <c r="C3" s="108" t="s">
        <v>259</v>
      </c>
      <c r="D3" s="108" t="s">
        <v>260</v>
      </c>
      <c r="E3" s="108" t="s">
        <v>261</v>
      </c>
      <c r="G3" s="132"/>
      <c r="H3" s="200"/>
      <c r="I3" s="200"/>
      <c r="K3" s="151"/>
      <c r="L3" s="195"/>
      <c r="M3" s="195"/>
      <c r="N3" s="195"/>
    </row>
    <row r="4">
      <c r="B4" s="108" t="s">
        <v>262</v>
      </c>
      <c r="C4" s="201">
        <f>32320*12030</f>
        <v>388809600</v>
      </c>
      <c r="D4" s="201">
        <v>2.31647397E8</v>
      </c>
      <c r="E4" s="202">
        <f>SUM(C4:D4)</f>
        <v>620456997</v>
      </c>
      <c r="G4" s="200"/>
      <c r="H4" s="203"/>
      <c r="I4" s="80"/>
      <c r="K4" s="195"/>
      <c r="L4" s="10"/>
      <c r="M4" s="10"/>
    </row>
    <row r="5">
      <c r="B5" s="204"/>
      <c r="C5" s="205"/>
      <c r="D5" s="190"/>
      <c r="E5" s="205"/>
      <c r="G5" s="206"/>
      <c r="H5" s="115"/>
      <c r="I5" s="81"/>
      <c r="K5" s="207"/>
    </row>
    <row r="6">
      <c r="B6" s="108" t="s">
        <v>263</v>
      </c>
      <c r="C6" s="201">
        <f>28290*12071</f>
        <v>341488590</v>
      </c>
      <c r="D6" s="201">
        <v>3.20712539E8</v>
      </c>
      <c r="E6" s="202">
        <f>SUM(C6:D6)</f>
        <v>662201129</v>
      </c>
      <c r="F6" s="195"/>
      <c r="G6" s="200"/>
      <c r="H6" s="208"/>
      <c r="I6" s="80"/>
      <c r="K6" s="195"/>
      <c r="L6" s="209"/>
    </row>
    <row r="7">
      <c r="B7" s="204"/>
      <c r="C7" s="205"/>
      <c r="D7" s="108"/>
      <c r="E7" s="205"/>
      <c r="F7" s="210"/>
      <c r="G7" s="206"/>
      <c r="H7" s="81"/>
      <c r="I7" s="81"/>
      <c r="K7" s="207"/>
    </row>
    <row r="8">
      <c r="B8" s="108" t="s">
        <v>264</v>
      </c>
      <c r="C8" s="211">
        <f>15330*12055</f>
        <v>184803150</v>
      </c>
      <c r="D8" s="212">
        <v>5.6197177E7</v>
      </c>
      <c r="E8" s="202">
        <f>SUM(C8:D8)</f>
        <v>241000327</v>
      </c>
      <c r="G8" s="200"/>
      <c r="H8" s="208"/>
      <c r="I8" s="80"/>
      <c r="K8" s="195"/>
      <c r="L8" s="209"/>
    </row>
    <row r="9">
      <c r="B9" s="204"/>
      <c r="C9" s="205"/>
      <c r="D9" s="108"/>
      <c r="E9" s="205"/>
      <c r="F9" s="210"/>
      <c r="G9" s="81"/>
      <c r="H9" s="81"/>
      <c r="I9" s="81"/>
      <c r="K9" s="207"/>
    </row>
    <row r="10">
      <c r="B10" s="108" t="s">
        <v>265</v>
      </c>
      <c r="C10" s="213">
        <f>-40800*12058</f>
        <v>-491966400</v>
      </c>
      <c r="D10" s="212">
        <v>1.52325879E8</v>
      </c>
      <c r="E10" s="214">
        <f>SUM(C10:D10)</f>
        <v>-339640521</v>
      </c>
      <c r="G10" s="132"/>
      <c r="H10" s="200"/>
      <c r="I10" s="200"/>
      <c r="J10" s="195"/>
      <c r="K10" s="195"/>
      <c r="L10" s="209"/>
    </row>
    <row r="11">
      <c r="B11" s="204"/>
      <c r="C11" s="205"/>
      <c r="D11" s="108"/>
      <c r="E11" s="205"/>
      <c r="F11" s="210"/>
      <c r="G11" s="200"/>
      <c r="H11" s="203"/>
      <c r="I11" s="80"/>
    </row>
    <row r="12">
      <c r="B12" s="108" t="s">
        <v>266</v>
      </c>
      <c r="C12" s="215">
        <f>-15330*11920</f>
        <v>-182733600</v>
      </c>
      <c r="D12" s="215">
        <v>-1.597252439E9</v>
      </c>
      <c r="E12" s="214">
        <f>SUM(C12:D12)</f>
        <v>-1779986039</v>
      </c>
      <c r="G12" s="206"/>
      <c r="H12" s="115"/>
      <c r="I12" s="81"/>
    </row>
    <row r="13">
      <c r="B13" s="204"/>
      <c r="C13" s="205"/>
      <c r="D13" s="190"/>
      <c r="E13" s="205"/>
      <c r="G13" s="200"/>
      <c r="H13" s="208"/>
      <c r="I13" s="80"/>
    </row>
    <row r="14">
      <c r="B14" s="108" t="s">
        <v>267</v>
      </c>
      <c r="C14" s="215">
        <f>-13930*11994</f>
        <v>-167076420</v>
      </c>
      <c r="D14" s="201">
        <v>2.46002642E8</v>
      </c>
      <c r="E14" s="202">
        <f>SUM(C14:D14)</f>
        <v>78926222</v>
      </c>
      <c r="G14" s="206"/>
      <c r="H14" s="81"/>
      <c r="I14" s="81"/>
    </row>
    <row r="15">
      <c r="B15" s="190"/>
      <c r="C15" s="190"/>
      <c r="D15" s="190"/>
      <c r="E15" s="205"/>
      <c r="G15" s="200"/>
      <c r="H15" s="208"/>
      <c r="I15" s="80"/>
    </row>
    <row r="16">
      <c r="B16" s="108" t="s">
        <v>261</v>
      </c>
      <c r="C16" s="202">
        <f t="shared" ref="C16:E16" si="1">SUM(C4:C15)</f>
        <v>73324920</v>
      </c>
      <c r="D16" s="214">
        <f t="shared" si="1"/>
        <v>-590366805</v>
      </c>
      <c r="E16" s="214">
        <f t="shared" si="1"/>
        <v>-517041885</v>
      </c>
      <c r="G16" s="207"/>
    </row>
    <row r="17">
      <c r="G17" s="195"/>
    </row>
    <row r="18">
      <c r="B18" s="132"/>
      <c r="C18" s="200"/>
      <c r="D18" s="200"/>
      <c r="E18" s="200"/>
      <c r="F18" s="81"/>
      <c r="G18" s="132"/>
      <c r="H18" s="200"/>
      <c r="I18" s="200"/>
      <c r="J18" s="200"/>
    </row>
    <row r="19">
      <c r="B19" s="200"/>
      <c r="C19" s="216"/>
      <c r="D19" s="216"/>
      <c r="E19" s="81"/>
      <c r="F19" s="81"/>
      <c r="G19" s="200"/>
      <c r="H19" s="216"/>
      <c r="I19" s="216"/>
      <c r="J19" s="81"/>
    </row>
    <row r="20">
      <c r="B20" s="206"/>
      <c r="C20" s="81"/>
      <c r="D20" s="81"/>
      <c r="E20" s="81"/>
      <c r="F20" s="81"/>
      <c r="G20" s="206"/>
      <c r="H20" s="81"/>
      <c r="I20" s="81"/>
      <c r="J20" s="81"/>
    </row>
    <row r="21">
      <c r="B21" s="200"/>
      <c r="C21" s="216"/>
      <c r="D21" s="216"/>
      <c r="E21" s="81"/>
      <c r="F21" s="81"/>
      <c r="G21" s="200"/>
      <c r="H21" s="216"/>
      <c r="I21" s="216"/>
      <c r="J21" s="81"/>
    </row>
    <row r="22">
      <c r="B22" s="206"/>
      <c r="C22" s="81"/>
      <c r="D22" s="200"/>
      <c r="E22" s="81"/>
      <c r="F22" s="81"/>
      <c r="G22" s="206"/>
      <c r="H22" s="81"/>
      <c r="I22" s="200"/>
      <c r="J22" s="81"/>
    </row>
    <row r="23">
      <c r="B23" s="200"/>
      <c r="C23" s="217"/>
      <c r="D23" s="218"/>
      <c r="E23" s="81"/>
      <c r="F23" s="81"/>
      <c r="G23" s="200"/>
      <c r="H23" s="217"/>
      <c r="I23" s="218"/>
      <c r="J23" s="81"/>
    </row>
    <row r="24">
      <c r="B24" s="206"/>
      <c r="C24" s="81"/>
      <c r="D24" s="200"/>
      <c r="E24" s="81"/>
      <c r="F24" s="81"/>
      <c r="G24" s="206"/>
      <c r="H24" s="81"/>
      <c r="I24" s="200"/>
      <c r="J24" s="81"/>
    </row>
    <row r="25">
      <c r="B25" s="200"/>
      <c r="C25" s="217"/>
      <c r="D25" s="218"/>
      <c r="E25" s="81"/>
      <c r="F25" s="81"/>
      <c r="G25" s="200"/>
      <c r="H25" s="217"/>
      <c r="I25" s="218"/>
      <c r="J25" s="81"/>
    </row>
    <row r="26">
      <c r="B26" s="206"/>
      <c r="C26" s="81"/>
      <c r="D26" s="200"/>
      <c r="E26" s="81"/>
      <c r="F26" s="81"/>
      <c r="G26" s="206"/>
      <c r="H26" s="81"/>
      <c r="I26" s="200"/>
      <c r="J26" s="81"/>
    </row>
    <row r="27">
      <c r="B27" s="200"/>
      <c r="C27" s="216"/>
      <c r="D27" s="216"/>
      <c r="E27" s="81"/>
      <c r="F27" s="81"/>
      <c r="G27" s="200"/>
      <c r="H27" s="216"/>
      <c r="I27" s="216"/>
      <c r="J27" s="81"/>
    </row>
    <row r="28">
      <c r="B28" s="206"/>
      <c r="C28" s="81"/>
      <c r="D28" s="81"/>
      <c r="E28" s="81"/>
      <c r="F28" s="81"/>
      <c r="G28" s="206"/>
      <c r="H28" s="81"/>
      <c r="I28" s="81"/>
      <c r="J28" s="81"/>
    </row>
    <row r="29">
      <c r="B29" s="200"/>
      <c r="C29" s="216"/>
      <c r="D29" s="216"/>
      <c r="E29" s="81"/>
      <c r="F29" s="81"/>
      <c r="G29" s="200"/>
      <c r="H29" s="216"/>
      <c r="I29" s="216"/>
      <c r="J29" s="81"/>
    </row>
    <row r="30">
      <c r="B30" s="81"/>
      <c r="C30" s="81"/>
      <c r="D30" s="81"/>
      <c r="E30" s="81"/>
      <c r="F30" s="81"/>
      <c r="G30" s="81"/>
      <c r="H30" s="81"/>
      <c r="I30" s="81"/>
      <c r="J30" s="81"/>
    </row>
    <row r="31">
      <c r="B31" s="78"/>
      <c r="C31" s="81"/>
      <c r="D31" s="81"/>
      <c r="E31" s="81"/>
      <c r="F31" s="81"/>
      <c r="G31" s="78"/>
      <c r="H31" s="81"/>
      <c r="I31" s="81"/>
      <c r="J31" s="81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4" max="4" width="14.63"/>
    <col customWidth="1" min="5" max="5" width="15.88"/>
    <col customWidth="1" min="6" max="6" width="17.88"/>
    <col customWidth="1" min="7" max="7" width="15.5"/>
  </cols>
  <sheetData>
    <row r="1">
      <c r="A1" s="9" t="s">
        <v>266</v>
      </c>
      <c r="B1" s="9" t="s">
        <v>260</v>
      </c>
    </row>
    <row r="2">
      <c r="A2" s="7">
        <v>45894.0</v>
      </c>
      <c r="B2" s="10">
        <v>-1.357361253E9</v>
      </c>
    </row>
    <row r="3">
      <c r="A3" s="7">
        <v>45895.0</v>
      </c>
      <c r="B3" s="10">
        <v>2.450585675E9</v>
      </c>
    </row>
    <row r="4">
      <c r="A4" s="7">
        <v>45896.0</v>
      </c>
      <c r="B4" s="10">
        <v>-2.97436687E9</v>
      </c>
    </row>
    <row r="5">
      <c r="A5" s="7">
        <v>45897.0</v>
      </c>
      <c r="B5" s="10">
        <v>-5.37605534E8</v>
      </c>
    </row>
    <row r="6">
      <c r="A6" s="7">
        <v>45898.0</v>
      </c>
      <c r="B6" s="10">
        <v>1.304432733E9</v>
      </c>
    </row>
    <row r="7">
      <c r="A7" s="7">
        <v>45901.0</v>
      </c>
      <c r="B7" s="10">
        <v>5.33127542E8</v>
      </c>
    </row>
    <row r="8">
      <c r="A8" s="219">
        <v>45902.0</v>
      </c>
      <c r="B8" s="10">
        <v>-6.81242746E8</v>
      </c>
    </row>
    <row r="9">
      <c r="A9" s="219">
        <v>45903.0</v>
      </c>
      <c r="B9" s="10">
        <v>-1.478500163E9</v>
      </c>
    </row>
    <row r="10">
      <c r="A10" s="219">
        <v>45904.0</v>
      </c>
      <c r="B10" s="10">
        <v>-2.8258205E8</v>
      </c>
    </row>
    <row r="11">
      <c r="A11" s="219">
        <v>45905.0</v>
      </c>
      <c r="B11" s="10">
        <v>-2.186940123E9</v>
      </c>
    </row>
    <row r="12">
      <c r="A12" s="219">
        <v>45908.0</v>
      </c>
      <c r="B12" s="10">
        <v>-8.53399991E8</v>
      </c>
    </row>
    <row r="13">
      <c r="A13" s="219">
        <v>45909.0</v>
      </c>
      <c r="B13" s="10">
        <v>-3.2668275E7</v>
      </c>
    </row>
    <row r="14">
      <c r="A14" s="219">
        <v>45910.0</v>
      </c>
      <c r="B14" s="10">
        <v>2.27502495E8</v>
      </c>
    </row>
    <row r="15">
      <c r="A15" s="219">
        <v>45911.0</v>
      </c>
      <c r="B15" s="10">
        <v>-1.554744514E9</v>
      </c>
    </row>
    <row r="16">
      <c r="A16" s="219">
        <v>45912.0</v>
      </c>
      <c r="B16" s="10">
        <v>2.11519557E8</v>
      </c>
    </row>
    <row r="17">
      <c r="A17" s="219">
        <v>45915.0</v>
      </c>
      <c r="B17" s="10">
        <v>4.262824477E9</v>
      </c>
    </row>
    <row r="18">
      <c r="A18" s="219">
        <v>45916.0</v>
      </c>
      <c r="B18" s="10">
        <v>5.56120981E8</v>
      </c>
    </row>
    <row r="19">
      <c r="A19" s="219">
        <v>45917.0</v>
      </c>
      <c r="B19" s="10">
        <v>-3.42774244E9</v>
      </c>
    </row>
    <row r="20">
      <c r="A20" s="219">
        <v>45918.0</v>
      </c>
      <c r="B20" s="10">
        <v>-2.455891659E9</v>
      </c>
    </row>
    <row r="21">
      <c r="A21" s="219">
        <v>45919.0</v>
      </c>
      <c r="B21" s="10">
        <v>3.084008516E9</v>
      </c>
    </row>
    <row r="22">
      <c r="A22" s="219">
        <v>45922.0</v>
      </c>
      <c r="B22" s="10">
        <v>-3.712169298E9</v>
      </c>
      <c r="H22" s="81"/>
      <c r="I22" s="200"/>
      <c r="J22" s="200"/>
      <c r="K22" s="200"/>
    </row>
    <row r="23">
      <c r="A23" s="219">
        <v>45923.0</v>
      </c>
      <c r="B23" s="10">
        <v>-4.359598172E9</v>
      </c>
      <c r="H23" s="200"/>
      <c r="I23" s="216"/>
      <c r="J23" s="216"/>
      <c r="K23" s="81"/>
    </row>
    <row r="24">
      <c r="A24" s="219">
        <v>45924.0</v>
      </c>
      <c r="B24" s="10">
        <v>-1.747599724E9</v>
      </c>
      <c r="H24" s="206"/>
      <c r="I24" s="81"/>
      <c r="J24" s="81"/>
      <c r="K24" s="81"/>
    </row>
    <row r="25">
      <c r="A25" s="219">
        <v>45925.0</v>
      </c>
      <c r="B25" s="10">
        <v>-1.226268604E9</v>
      </c>
      <c r="H25" s="200"/>
      <c r="I25" s="217"/>
      <c r="J25" s="217"/>
      <c r="K25" s="216"/>
    </row>
    <row r="26">
      <c r="A26" s="219">
        <v>45926.0</v>
      </c>
      <c r="B26" s="10">
        <v>-4.971592986E9</v>
      </c>
      <c r="H26" s="206"/>
      <c r="I26" s="81"/>
      <c r="J26" s="81"/>
      <c r="K26" s="81"/>
    </row>
    <row r="27">
      <c r="A27" s="219">
        <v>45929.0</v>
      </c>
      <c r="B27" s="10">
        <v>5.38567163E8</v>
      </c>
      <c r="H27" s="200"/>
      <c r="I27" s="217"/>
      <c r="J27" s="216"/>
      <c r="K27" s="81"/>
    </row>
    <row r="28">
      <c r="A28" s="219">
        <v>45930.0</v>
      </c>
      <c r="B28" s="10">
        <v>-1.88632985E9</v>
      </c>
      <c r="D28" s="151"/>
      <c r="E28" s="195"/>
      <c r="F28" s="195"/>
      <c r="G28" s="195"/>
      <c r="H28" s="206"/>
      <c r="I28" s="81"/>
      <c r="J28" s="81"/>
      <c r="K28" s="81"/>
    </row>
    <row r="29">
      <c r="A29" s="219">
        <v>45931.0</v>
      </c>
      <c r="B29" s="10">
        <v>4.389358122E9</v>
      </c>
      <c r="D29" s="220"/>
      <c r="E29" s="221"/>
      <c r="F29" s="222"/>
      <c r="G29" s="223"/>
      <c r="H29" s="200"/>
      <c r="I29" s="217"/>
      <c r="J29" s="216"/>
      <c r="K29" s="81"/>
    </row>
    <row r="30">
      <c r="A30" s="219">
        <v>45932.0</v>
      </c>
      <c r="B30" s="10">
        <v>-1.723178865E9</v>
      </c>
      <c r="D30" s="224"/>
      <c r="E30" s="217"/>
      <c r="F30" s="218"/>
      <c r="G30" s="225"/>
      <c r="H30" s="206"/>
      <c r="I30" s="81"/>
      <c r="J30" s="226"/>
      <c r="K30" s="227"/>
      <c r="L30" s="227"/>
      <c r="M30" s="225"/>
    </row>
    <row r="31">
      <c r="A31" s="219">
        <v>45933.0</v>
      </c>
      <c r="B31" s="10">
        <v>-1.553832581E9</v>
      </c>
      <c r="D31" s="228"/>
      <c r="E31" s="94"/>
      <c r="F31" s="94"/>
      <c r="G31" s="94"/>
      <c r="H31" s="200"/>
      <c r="I31" s="217"/>
      <c r="J31" s="218"/>
      <c r="K31" s="229"/>
      <c r="L31" s="94"/>
      <c r="M31" s="94"/>
      <c r="N31" s="81"/>
    </row>
    <row r="32">
      <c r="A32" s="219">
        <v>45936.0</v>
      </c>
      <c r="B32" s="10">
        <v>-1.828117056E9</v>
      </c>
      <c r="D32" s="230"/>
      <c r="E32" s="222"/>
      <c r="F32" s="222"/>
      <c r="G32" s="222"/>
      <c r="H32" s="206"/>
      <c r="I32" s="81"/>
      <c r="J32" s="226"/>
      <c r="K32" s="227"/>
      <c r="L32" s="227"/>
      <c r="M32" s="225"/>
      <c r="N32" s="81"/>
    </row>
    <row r="33">
      <c r="A33" s="219">
        <v>45937.0</v>
      </c>
      <c r="B33" s="10">
        <v>-1.538875562E9</v>
      </c>
      <c r="D33" s="230"/>
      <c r="E33" s="222"/>
      <c r="F33" s="222"/>
      <c r="G33" s="222"/>
      <c r="H33" s="200"/>
      <c r="I33" s="216"/>
      <c r="J33" s="230"/>
      <c r="K33" s="222"/>
      <c r="L33" s="222"/>
      <c r="M33" s="222"/>
      <c r="N33" s="81"/>
    </row>
    <row r="34">
      <c r="A34" s="219">
        <v>45938.0</v>
      </c>
      <c r="B34" s="10">
        <v>-9290088.0</v>
      </c>
      <c r="D34" s="231" t="s">
        <v>266</v>
      </c>
      <c r="E34" s="232" t="s">
        <v>268</v>
      </c>
      <c r="F34" s="232" t="s">
        <v>260</v>
      </c>
      <c r="G34" s="232" t="s">
        <v>261</v>
      </c>
      <c r="H34" s="81"/>
      <c r="I34" s="81"/>
      <c r="J34" s="233"/>
      <c r="K34" s="225"/>
      <c r="L34" s="225"/>
      <c r="M34" s="225"/>
      <c r="N34" s="81"/>
    </row>
    <row r="35">
      <c r="A35" s="219">
        <v>45939.0</v>
      </c>
      <c r="B35" s="10">
        <v>-1.64812657E8</v>
      </c>
      <c r="D35" s="234" t="s">
        <v>269</v>
      </c>
      <c r="E35" s="235">
        <f>15330*-11920</f>
        <v>-182733600</v>
      </c>
      <c r="F35" s="235">
        <f>B62</f>
        <v>-1597252439</v>
      </c>
      <c r="G35" s="235">
        <f>SUM(E35:F35)</f>
        <v>-1779986039</v>
      </c>
      <c r="H35" s="78"/>
      <c r="I35" s="81"/>
      <c r="J35" s="236"/>
      <c r="K35" s="229"/>
      <c r="L35" s="229"/>
      <c r="M35" s="229"/>
      <c r="N35" s="81"/>
    </row>
    <row r="36">
      <c r="A36" s="219">
        <v>45940.0</v>
      </c>
      <c r="B36" s="10">
        <v>1.170921331E9</v>
      </c>
      <c r="D36" s="237"/>
      <c r="E36" s="38"/>
      <c r="F36" s="38"/>
      <c r="G36" s="38"/>
      <c r="I36" s="81"/>
      <c r="J36" s="233"/>
      <c r="K36" s="225"/>
      <c r="L36" s="225"/>
      <c r="M36" s="225"/>
      <c r="N36" s="81"/>
    </row>
    <row r="37">
      <c r="A37" s="219">
        <v>45943.0</v>
      </c>
      <c r="B37" s="10">
        <v>-1.508611081E9</v>
      </c>
      <c r="D37" s="238" t="s">
        <v>270</v>
      </c>
      <c r="E37" s="239">
        <f>61260*12106</f>
        <v>741613560</v>
      </c>
      <c r="F37" s="239">
        <f>B61</f>
        <v>2043660082</v>
      </c>
      <c r="G37" s="239">
        <f>SUM(E37:F37)</f>
        <v>2785273642</v>
      </c>
      <c r="I37" s="81"/>
      <c r="J37" s="236"/>
      <c r="K37" s="229"/>
      <c r="L37" s="229"/>
      <c r="M37" s="229"/>
      <c r="N37" s="81"/>
    </row>
    <row r="38">
      <c r="A38" s="240">
        <v>45944.0</v>
      </c>
      <c r="B38" s="10">
        <v>-1.879340443E9</v>
      </c>
      <c r="D38" s="237"/>
      <c r="E38" s="38"/>
      <c r="F38" s="38"/>
      <c r="G38" s="38"/>
      <c r="I38" s="81"/>
      <c r="J38" s="233"/>
      <c r="K38" s="225"/>
      <c r="L38" s="225"/>
      <c r="M38" s="225"/>
      <c r="N38" s="81"/>
    </row>
    <row r="39">
      <c r="A39" s="240">
        <v>45945.0</v>
      </c>
      <c r="B39" s="10">
        <v>3.269290285E9</v>
      </c>
      <c r="D39" s="238" t="s">
        <v>271</v>
      </c>
      <c r="E39" s="235">
        <f>-37440*11700</f>
        <v>-438048000</v>
      </c>
      <c r="F39" s="235">
        <f>B60</f>
        <v>-132908401</v>
      </c>
      <c r="G39" s="235">
        <f>SUM(E39:F39)</f>
        <v>-570956401</v>
      </c>
      <c r="I39" s="81"/>
      <c r="J39" s="236"/>
      <c r="K39" s="229"/>
      <c r="L39" s="229"/>
      <c r="M39" s="229"/>
      <c r="N39" s="81"/>
    </row>
    <row r="40">
      <c r="A40" s="219">
        <v>45946.0</v>
      </c>
      <c r="B40" s="10">
        <v>-1.295945276E9</v>
      </c>
      <c r="D40" s="237"/>
      <c r="E40" s="38"/>
      <c r="F40" s="38"/>
      <c r="G40" s="38"/>
      <c r="I40" s="81"/>
      <c r="J40" s="223"/>
      <c r="K40" s="225"/>
      <c r="L40" s="225"/>
      <c r="M40" s="225"/>
      <c r="N40" s="81"/>
    </row>
    <row r="41">
      <c r="A41" s="219">
        <v>45947.0</v>
      </c>
      <c r="B41" s="15">
        <v>-3.688375E8</v>
      </c>
      <c r="D41" s="238" t="s">
        <v>272</v>
      </c>
      <c r="E41" s="235">
        <f>-23340*11841</f>
        <v>-276368940</v>
      </c>
      <c r="F41" s="235">
        <f>B59</f>
        <v>-864499935</v>
      </c>
      <c r="G41" s="235">
        <f>SUM(E41:F41)</f>
        <v>-1140868875</v>
      </c>
      <c r="I41" s="81"/>
      <c r="J41" s="236"/>
      <c r="K41" s="229"/>
      <c r="L41" s="229"/>
      <c r="M41" s="229"/>
      <c r="N41" s="81"/>
    </row>
    <row r="42">
      <c r="A42" s="7">
        <v>45950.0</v>
      </c>
      <c r="B42" s="216">
        <v>3.276797816E9</v>
      </c>
      <c r="D42" s="237"/>
      <c r="E42" s="38"/>
      <c r="F42" s="38"/>
      <c r="G42" s="38"/>
      <c r="I42" s="81"/>
      <c r="J42" s="223"/>
      <c r="K42" s="225"/>
      <c r="L42" s="225"/>
      <c r="M42" s="225"/>
      <c r="N42" s="81"/>
    </row>
    <row r="43">
      <c r="A43" s="7">
        <v>45951.0</v>
      </c>
      <c r="B43" s="11">
        <v>-6.80389377E8</v>
      </c>
      <c r="D43" s="241">
        <v>46002.0</v>
      </c>
      <c r="E43" s="239">
        <f>163650*12000</f>
        <v>1963800000</v>
      </c>
      <c r="F43" s="235">
        <f>B58</f>
        <v>-281312193</v>
      </c>
      <c r="G43" s="239">
        <f>SUM(E43:F43)</f>
        <v>1682487807</v>
      </c>
      <c r="I43" s="81"/>
      <c r="J43" s="236"/>
      <c r="K43" s="229"/>
      <c r="L43" s="229"/>
      <c r="M43" s="229"/>
      <c r="N43" s="81"/>
    </row>
    <row r="44">
      <c r="A44" s="7">
        <v>45952.0</v>
      </c>
      <c r="B44" s="10">
        <v>-2.53960194E8</v>
      </c>
      <c r="D44" s="237"/>
      <c r="E44" s="242"/>
      <c r="F44" s="242"/>
      <c r="G44" s="242"/>
      <c r="I44" s="81"/>
      <c r="J44" s="233"/>
      <c r="K44" s="225"/>
      <c r="L44" s="225"/>
      <c r="M44" s="225"/>
      <c r="N44" s="81"/>
    </row>
    <row r="45">
      <c r="A45" s="7">
        <v>45953.0</v>
      </c>
      <c r="B45" s="10">
        <v>-1.308517024E9</v>
      </c>
      <c r="D45" s="238" t="s">
        <v>68</v>
      </c>
      <c r="E45" s="239">
        <f t="shared" ref="E45:F45" si="1">SUM(E35:E43)</f>
        <v>1808263020</v>
      </c>
      <c r="F45" s="235">
        <f t="shared" si="1"/>
        <v>-832312886</v>
      </c>
      <c r="G45" s="239">
        <f>SUM(E45:F45)</f>
        <v>975950134</v>
      </c>
      <c r="I45" s="81"/>
      <c r="J45" s="236"/>
      <c r="K45" s="229"/>
      <c r="L45" s="229"/>
      <c r="M45" s="229"/>
      <c r="N45" s="81"/>
    </row>
    <row r="46">
      <c r="A46" s="7">
        <v>45954.0</v>
      </c>
      <c r="B46" s="10">
        <v>6.255619463E9</v>
      </c>
      <c r="D46" s="237"/>
      <c r="E46" s="38"/>
      <c r="F46" s="38"/>
      <c r="G46" s="38"/>
      <c r="I46" s="81"/>
      <c r="J46" s="233"/>
      <c r="K46" s="225"/>
      <c r="L46" s="225"/>
      <c r="M46" s="225"/>
      <c r="N46" s="81"/>
    </row>
    <row r="47">
      <c r="A47" s="7">
        <v>45957.0</v>
      </c>
      <c r="B47" s="10">
        <v>-4.759705173E9</v>
      </c>
      <c r="D47" s="238" t="s">
        <v>69</v>
      </c>
      <c r="E47" s="235">
        <f>-1112800*12585</f>
        <v>-14004588000</v>
      </c>
      <c r="F47" s="235">
        <f>SUM(B43:B62)</f>
        <v>-3999893018</v>
      </c>
      <c r="G47" s="235">
        <f>SUM(E47:F47)</f>
        <v>-18004481018</v>
      </c>
      <c r="I47" s="81"/>
      <c r="J47" s="94"/>
      <c r="K47" s="229"/>
      <c r="L47" s="229"/>
      <c r="M47" s="229"/>
      <c r="N47" s="81"/>
    </row>
    <row r="48">
      <c r="A48" s="7">
        <v>45958.0</v>
      </c>
      <c r="B48" s="10">
        <v>-1.041372152E9</v>
      </c>
      <c r="D48" s="237"/>
      <c r="E48" s="38"/>
      <c r="F48" s="38"/>
      <c r="G48" s="38"/>
      <c r="I48" s="81"/>
      <c r="J48" s="233"/>
      <c r="K48" s="225"/>
      <c r="L48" s="225"/>
      <c r="M48" s="225"/>
      <c r="N48" s="81"/>
    </row>
    <row r="49">
      <c r="A49" s="7">
        <v>45960.0</v>
      </c>
      <c r="B49" s="10">
        <v>-3.7315448E8</v>
      </c>
      <c r="D49" s="238" t="s">
        <v>273</v>
      </c>
      <c r="E49" s="235">
        <f>-1122900*12585</f>
        <v>-14131696500</v>
      </c>
      <c r="F49" s="235">
        <f>SUM(B23:B62)</f>
        <v>-17417188746</v>
      </c>
      <c r="G49" s="235">
        <f>SUM(E49:F49)</f>
        <v>-31548885246</v>
      </c>
      <c r="I49" s="81"/>
      <c r="J49" s="81"/>
      <c r="K49" s="81"/>
      <c r="L49" s="81"/>
      <c r="M49" s="81"/>
      <c r="N49" s="81"/>
    </row>
    <row r="50">
      <c r="A50" s="7">
        <v>45961.0</v>
      </c>
      <c r="B50" s="10">
        <v>4.050299313E9</v>
      </c>
      <c r="D50" s="233"/>
      <c r="E50" s="225"/>
      <c r="F50" s="225"/>
      <c r="G50" s="225"/>
    </row>
    <row r="51">
      <c r="A51" s="75">
        <v>45964.0</v>
      </c>
      <c r="B51" s="216">
        <v>-2.058702615E9</v>
      </c>
      <c r="D51" s="243"/>
      <c r="E51" s="229"/>
      <c r="F51" s="229"/>
      <c r="G51" s="94"/>
    </row>
    <row r="52">
      <c r="A52" s="75">
        <v>45965.0</v>
      </c>
      <c r="B52" s="216">
        <v>-3.12445423E9</v>
      </c>
      <c r="D52" s="233"/>
      <c r="E52" s="225"/>
      <c r="F52" s="225"/>
      <c r="G52" s="225"/>
    </row>
    <row r="53">
      <c r="A53" s="75">
        <v>45966.0</v>
      </c>
      <c r="B53" s="10">
        <v>1.314404568E9</v>
      </c>
      <c r="D53" s="243"/>
      <c r="E53" s="229"/>
      <c r="F53" s="229"/>
      <c r="G53" s="94"/>
    </row>
    <row r="54">
      <c r="A54" s="75">
        <v>45967.0</v>
      </c>
      <c r="B54" s="15">
        <v>9.96112787E8</v>
      </c>
      <c r="D54" s="233"/>
      <c r="E54" s="225"/>
      <c r="F54" s="225"/>
      <c r="G54" s="225"/>
    </row>
    <row r="55">
      <c r="A55" s="75">
        <v>45968.0</v>
      </c>
      <c r="B55" s="15">
        <v>-2.200427224E9</v>
      </c>
      <c r="D55" s="228"/>
      <c r="E55" s="94"/>
      <c r="F55" s="94"/>
      <c r="G55" s="94"/>
    </row>
    <row r="56">
      <c r="A56" s="7">
        <v>45971.0</v>
      </c>
      <c r="B56" s="15">
        <v>-9.84377926E8</v>
      </c>
      <c r="D56" s="244"/>
      <c r="E56" s="225"/>
      <c r="F56" s="227"/>
      <c r="G56" s="225"/>
    </row>
    <row r="57">
      <c r="A57" s="7">
        <v>45972.0</v>
      </c>
      <c r="B57" s="15">
        <v>1.001044132E9</v>
      </c>
      <c r="D57" s="228"/>
      <c r="E57" s="94"/>
      <c r="F57" s="94"/>
      <c r="G57" s="229"/>
    </row>
    <row r="58">
      <c r="A58" s="7">
        <v>45973.0</v>
      </c>
      <c r="B58" s="15">
        <v>-2.81312193E8</v>
      </c>
      <c r="D58" s="244"/>
      <c r="E58" s="225"/>
      <c r="F58" s="225"/>
      <c r="G58" s="225"/>
    </row>
    <row r="59">
      <c r="A59" s="7">
        <v>45974.0</v>
      </c>
      <c r="B59" s="15">
        <v>-8.64499935E8</v>
      </c>
      <c r="D59" s="223"/>
      <c r="E59" s="225"/>
      <c r="F59" s="225"/>
      <c r="G59" s="225"/>
    </row>
    <row r="60">
      <c r="A60" s="7">
        <v>45975.0</v>
      </c>
      <c r="B60" s="245">
        <v>-1.32908401E8</v>
      </c>
      <c r="D60" s="223"/>
      <c r="E60" s="225"/>
      <c r="F60" s="225"/>
      <c r="G60" s="225"/>
    </row>
    <row r="61">
      <c r="A61" s="7">
        <v>45978.0</v>
      </c>
      <c r="B61" s="227">
        <v>2.043660082E9</v>
      </c>
      <c r="D61" s="243"/>
      <c r="E61" s="229"/>
      <c r="F61" s="229"/>
      <c r="G61" s="94"/>
    </row>
    <row r="62">
      <c r="A62" s="7">
        <v>45979.0</v>
      </c>
      <c r="B62" s="10">
        <v>-1.597252439E9</v>
      </c>
      <c r="D62" s="223"/>
      <c r="E62" s="227"/>
      <c r="F62" s="225"/>
      <c r="G62" s="225"/>
    </row>
    <row r="63">
      <c r="D63" s="243"/>
      <c r="E63" s="229"/>
      <c r="F63" s="229"/>
      <c r="G63" s="94"/>
    </row>
    <row r="64">
      <c r="D64" s="223"/>
      <c r="E64" s="225"/>
      <c r="F64" s="225"/>
      <c r="G64" s="225"/>
    </row>
  </sheetData>
  <drawing r:id="rId1"/>
</worksheet>
</file>